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n\OneDrive\Desktop\"/>
    </mc:Choice>
  </mc:AlternateContent>
  <xr:revisionPtr revIDLastSave="0" documentId="8_{548088FD-B7B8-4484-BACC-F064BB969F6F}" xr6:coauthVersionLast="47" xr6:coauthVersionMax="47" xr10:uidLastSave="{00000000-0000-0000-0000-000000000000}"/>
  <bookViews>
    <workbookView xWindow="-120" yWindow="-120" windowWidth="29040" windowHeight="15720" xr2:uid="{9EACAD42-BA7F-49AA-A0F9-421173A3E346}"/>
  </bookViews>
  <sheets>
    <sheet name="met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G52" i="1" l="1"/>
  <c r="F46" i="1"/>
  <c r="H45" i="1"/>
  <c r="F47" i="1"/>
  <c r="G39" i="1"/>
  <c r="F39" i="1"/>
  <c r="E39" i="1"/>
  <c r="F20" i="1"/>
  <c r="E47" i="1"/>
  <c r="H40" i="1"/>
  <c r="G40" i="1"/>
  <c r="F40" i="1"/>
  <c r="E40" i="1"/>
  <c r="I40" i="1" s="1"/>
  <c r="H39" i="1"/>
  <c r="I39" i="1"/>
  <c r="I27" i="1"/>
  <c r="F21" i="1"/>
  <c r="F45" i="1" l="1"/>
  <c r="G45" i="1"/>
  <c r="G47" i="1" s="1"/>
  <c r="G46" i="1"/>
  <c r="F53" i="1" s="1"/>
  <c r="G53" i="1" s="1"/>
  <c r="F52" i="1" l="1"/>
  <c r="H46" i="1"/>
</calcChain>
</file>

<file path=xl/sharedStrings.xml><?xml version="1.0" encoding="utf-8"?>
<sst xmlns="http://schemas.openxmlformats.org/spreadsheetml/2006/main" count="101" uniqueCount="69">
  <si>
    <t>Validaciones Mensuales</t>
  </si>
  <si>
    <t>VALIDACIONES EN EL SISTEMA DE RECAUDO (VIAJES MENSUALES)</t>
  </si>
  <si>
    <t>MES / AÑO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</si>
  <si>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</si>
  <si>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</si>
  <si>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</si>
  <si>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</si>
  <si>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</si>
  <si>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</si>
  <si>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</si>
  <si>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</si>
  <si>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</si>
  <si>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</si>
  <si>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</si>
  <si>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</si>
  <si>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 1 ( Dic 2023 - Nov 2024)=</t>
  </si>
  <si>
    <t>Año 2 ( Dic 2024 - Nov 2025)=</t>
  </si>
  <si>
    <t>VIAJES</t>
  </si>
  <si>
    <t xml:space="preserve">Validaciones Tarifa Base </t>
  </si>
  <si>
    <t>Validaciones Tarifa Reducida</t>
  </si>
  <si>
    <t>Validaciones Tarifa Preferencial</t>
  </si>
  <si>
    <t>Prueba de Funcionalidad</t>
  </si>
  <si>
    <t>Total</t>
  </si>
  <si>
    <t>AÑO 1</t>
  </si>
  <si>
    <t>AÑO 2</t>
  </si>
  <si>
    <t xml:space="preserve">Tipo de Viajes </t>
  </si>
  <si>
    <t xml:space="preserve">Precio </t>
  </si>
  <si>
    <t xml:space="preserve">Tarifa Base </t>
  </si>
  <si>
    <t>Tarifa Reducida</t>
  </si>
  <si>
    <t>Tarifa Preferencial</t>
  </si>
  <si>
    <t>Pruebas Fun</t>
  </si>
  <si>
    <t>Monto Total Tarifa Base</t>
  </si>
  <si>
    <t>Monto Total Tarifa Reducida</t>
  </si>
  <si>
    <t>Monto Total Tarifa Prefencial</t>
  </si>
  <si>
    <t>RECAUDACION TOTAL</t>
  </si>
  <si>
    <t>MONTO POR MEDIOS DE RECAUDACION</t>
  </si>
  <si>
    <t xml:space="preserve">Medios </t>
  </si>
  <si>
    <t>Porcentaje</t>
  </si>
  <si>
    <t>Año 1</t>
  </si>
  <si>
    <t>Año 2</t>
  </si>
  <si>
    <t xml:space="preserve">Acceso fisico </t>
  </si>
  <si>
    <t xml:space="preserve">Acceso digital </t>
  </si>
  <si>
    <t>TOTAL</t>
  </si>
  <si>
    <t>INFLUENCIA EN EL POS</t>
  </si>
  <si>
    <t>AÑOS</t>
  </si>
  <si>
    <t>POS</t>
  </si>
  <si>
    <t xml:space="preserve">Acceso Digital Metro </t>
  </si>
  <si>
    <t>Impacto del Metro</t>
  </si>
  <si>
    <t>https://metrodequito.gob.ec/wp-content/uploads/2025/12/25-12-23-Boletin-Estadistico-12-2025.pdf</t>
  </si>
  <si>
    <t>https://metrodequito.gob.ec/metodos-acceso-digitales/#:~:text=47%20%25%20de%20usuarios%20usan%20m%C3%A9todos%20de,para%20viajar%20en%20el%20Metro%20de%20Quito</t>
  </si>
  <si>
    <t>MEDIOS DE ACCESO</t>
  </si>
  <si>
    <t>Año</t>
  </si>
  <si>
    <t>Mes</t>
  </si>
  <si>
    <t>Cuentas Cuidad Creadas</t>
  </si>
  <si>
    <t>Cedulas Vinculadas</t>
  </si>
  <si>
    <t>Tarjetas Cuidad Entregadas</t>
  </si>
  <si>
    <t>Enero</t>
  </si>
  <si>
    <t xml:space="preserve">TOTAL </t>
  </si>
  <si>
    <t>matriz general</t>
  </si>
  <si>
    <t>https://metrodequito.gob.ec/wp-content/uploads/2026/01/26-01-22-Boletin-Estadistico-01-2026.pdf</t>
  </si>
  <si>
    <t>totales</t>
  </si>
  <si>
    <t>Dato pag 34</t>
  </si>
  <si>
    <t>Fuentes</t>
  </si>
  <si>
    <t>Dato pag 10</t>
  </si>
  <si>
    <t>fuentes Pag 31 32 33</t>
  </si>
  <si>
    <t>Fuente</t>
  </si>
  <si>
    <t>https://metrodequito.gob.ec/metodos-acceso-digitales/#:~:text=47%20%25%20de%20usuarios%20usan%20m%C3%A9todos%20de,para%20viajar%20en%20el%20Metro%20de%20Quito.</t>
  </si>
  <si>
    <t>Pos</t>
  </si>
  <si>
    <t>https://www.superbancos.gob.ec/estadisticas/portalestudios/servicios-financieros/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</si>
</sst>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 * #,##0_ ;_ * \-#,##0_ ;_ * &quot;-&quot;??_ ;_ @_ "/>
    <numFmt numFmtId="165" formatCode="_ * #,##0.00000_ ;_ * \-#,##0.00000_ ;_ * &quot;-&quot;??_ ;_ @_ "/>
    <numFmt numFmtId="167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 applyAlignment="1"/>
    <xf numFmtId="164" fontId="0" fillId="0" borderId="1" xfId="1" applyNumberFormat="1" applyFont="1" applyBorder="1" applyAlignment="1">
      <alignment horizontal="center" vertical="center"/>
    </xf>
    <xf numFmtId="164" fontId="0" fillId="0" borderId="0" xfId="0" applyNumberFormat="1"/>
    <xf numFmtId="0" fontId="2" fillId="0" borderId="1" xfId="0" applyFont="1" applyBorder="1" applyAlignment="1">
      <alignment horizontal="center"/>
    </xf>
    <xf numFmtId="164" fontId="0" fillId="0" borderId="1" xfId="1" applyNumberFormat="1" applyFont="1" applyBorder="1"/>
    <xf numFmtId="164" fontId="2" fillId="3" borderId="1" xfId="0" applyNumberFormat="1" applyFont="1" applyFill="1" applyBorder="1"/>
    <xf numFmtId="165" fontId="0" fillId="0" borderId="0" xfId="0" applyNumberFormat="1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/>
    </xf>
    <xf numFmtId="43" fontId="0" fillId="0" borderId="1" xfId="0" applyNumberFormat="1" applyBorder="1"/>
    <xf numFmtId="44" fontId="0" fillId="0" borderId="1" xfId="2" applyFont="1" applyBorder="1"/>
    <xf numFmtId="0" fontId="2" fillId="0" borderId="0" xfId="0" applyFont="1"/>
    <xf numFmtId="10" fontId="0" fillId="0" borderId="0" xfId="3" applyNumberFormat="1" applyFont="1"/>
    <xf numFmtId="0" fontId="0" fillId="0" borderId="2" xfId="0" applyBorder="1"/>
    <xf numFmtId="9" fontId="0" fillId="0" borderId="2" xfId="3" quotePrefix="1" applyFont="1" applyBorder="1" applyAlignment="1">
      <alignment horizontal="center"/>
    </xf>
    <xf numFmtId="44" fontId="0" fillId="0" borderId="2" xfId="2" applyFont="1" applyBorder="1"/>
    <xf numFmtId="44" fontId="0" fillId="0" borderId="1" xfId="0" applyNumberFormat="1" applyBorder="1"/>
    <xf numFmtId="9" fontId="0" fillId="0" borderId="1" xfId="3" applyFont="1" applyBorder="1" applyAlignment="1">
      <alignment horizontal="center"/>
    </xf>
    <xf numFmtId="44" fontId="2" fillId="4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167" fontId="4" fillId="0" borderId="1" xfId="3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3" fillId="0" borderId="0" xfId="4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2" fontId="0" fillId="0" borderId="0" xfId="0" applyNumberFormat="1"/>
    <xf numFmtId="2" fontId="0" fillId="0" borderId="0" xfId="3" applyNumberFormat="1" applyFont="1"/>
    <xf numFmtId="0" fontId="2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164" fontId="3" fillId="0" borderId="0" xfId="4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5">
    <cellStyle name="Hipervínculo" xfId="4" builtinId="8"/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>
                <a:solidFill>
                  <a:sysClr val="windowText" lastClr="000000"/>
                </a:solidFill>
              </a:rPr>
              <a:t>Diagrama de Barras de</a:t>
            </a:r>
            <a:r>
              <a:rPr lang="es-EC" baseline="0">
                <a:solidFill>
                  <a:sysClr val="windowText" lastClr="000000"/>
                </a:solidFill>
              </a:rPr>
              <a:t> los Medios de Acceso</a:t>
            </a:r>
            <a:endParaRPr lang="es-EC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metro!$E$64</c:f>
              <c:strCache>
                <c:ptCount val="1"/>
                <c:pt idx="0">
                  <c:v>Cuentas Cuidad Creadas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metro!$D$66:$D$89</c:f>
              <c:strCache>
                <c:ptCount val="24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Enero</c:v>
                </c:pt>
                <c:pt idx="13">
                  <c:v>Febrero</c:v>
                </c:pt>
                <c:pt idx="14">
                  <c:v>Marzo</c:v>
                </c:pt>
                <c:pt idx="15">
                  <c:v>Abril</c:v>
                </c:pt>
                <c:pt idx="16">
                  <c:v>Mayo</c:v>
                </c:pt>
                <c:pt idx="17">
                  <c:v>Junio</c:v>
                </c:pt>
                <c:pt idx="18">
                  <c:v>Julio</c:v>
                </c:pt>
                <c:pt idx="19">
                  <c:v>Agosto</c:v>
                </c:pt>
                <c:pt idx="20">
                  <c:v>Septiembre</c:v>
                </c:pt>
                <c:pt idx="21">
                  <c:v>Octubre</c:v>
                </c:pt>
                <c:pt idx="22">
                  <c:v>Noviembre</c:v>
                </c:pt>
                <c:pt idx="23">
                  <c:v>Diciembre</c:v>
                </c:pt>
              </c:strCache>
            </c:strRef>
          </c:cat>
          <c:val>
            <c:numRef>
              <c:f>metro!$E$66:$E$89</c:f>
              <c:numCache>
                <c:formatCode>_ * #,##0_ ;_ * \-#,##0_ ;_ * "-"??_ ;_ @_ </c:formatCode>
                <c:ptCount val="24"/>
                <c:pt idx="0">
                  <c:v>39015</c:v>
                </c:pt>
                <c:pt idx="1">
                  <c:v>19380</c:v>
                </c:pt>
                <c:pt idx="2">
                  <c:v>13387</c:v>
                </c:pt>
                <c:pt idx="3">
                  <c:v>10646</c:v>
                </c:pt>
                <c:pt idx="4">
                  <c:v>9039</c:v>
                </c:pt>
                <c:pt idx="5">
                  <c:v>7356</c:v>
                </c:pt>
                <c:pt idx="6">
                  <c:v>7111</c:v>
                </c:pt>
                <c:pt idx="7">
                  <c:v>11561</c:v>
                </c:pt>
                <c:pt idx="8">
                  <c:v>22180</c:v>
                </c:pt>
                <c:pt idx="9">
                  <c:v>21915</c:v>
                </c:pt>
                <c:pt idx="10">
                  <c:v>24154</c:v>
                </c:pt>
                <c:pt idx="11">
                  <c:v>26435</c:v>
                </c:pt>
                <c:pt idx="12">
                  <c:v>10849</c:v>
                </c:pt>
                <c:pt idx="13">
                  <c:v>8149</c:v>
                </c:pt>
                <c:pt idx="14">
                  <c:v>11189</c:v>
                </c:pt>
                <c:pt idx="15">
                  <c:v>12928</c:v>
                </c:pt>
                <c:pt idx="16">
                  <c:v>13748</c:v>
                </c:pt>
                <c:pt idx="17">
                  <c:v>22058</c:v>
                </c:pt>
                <c:pt idx="18">
                  <c:v>9635</c:v>
                </c:pt>
                <c:pt idx="19">
                  <c:v>12661</c:v>
                </c:pt>
                <c:pt idx="20">
                  <c:v>11478</c:v>
                </c:pt>
                <c:pt idx="21">
                  <c:v>11669</c:v>
                </c:pt>
                <c:pt idx="22">
                  <c:v>13192</c:v>
                </c:pt>
                <c:pt idx="23">
                  <c:v>13803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A-4BC9-B999-4F2DBA836E0C}"/>
            </c:ext>
          </c:extLst>
        </c:ser>
        <c:ser>
          <c:idx val="1"/>
          <c:order val="1"/>
          <c:tx>
            <c:strRef>
              <c:f>metro!$F$64</c:f>
              <c:strCache>
                <c:ptCount val="1"/>
                <c:pt idx="0">
                  <c:v>Cedulas Vinculadas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strRef>
              <c:f>metro!$D$66:$D$89</c:f>
              <c:strCache>
                <c:ptCount val="24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Enero</c:v>
                </c:pt>
                <c:pt idx="13">
                  <c:v>Febrero</c:v>
                </c:pt>
                <c:pt idx="14">
                  <c:v>Marzo</c:v>
                </c:pt>
                <c:pt idx="15">
                  <c:v>Abril</c:v>
                </c:pt>
                <c:pt idx="16">
                  <c:v>Mayo</c:v>
                </c:pt>
                <c:pt idx="17">
                  <c:v>Junio</c:v>
                </c:pt>
                <c:pt idx="18">
                  <c:v>Julio</c:v>
                </c:pt>
                <c:pt idx="19">
                  <c:v>Agosto</c:v>
                </c:pt>
                <c:pt idx="20">
                  <c:v>Septiembre</c:v>
                </c:pt>
                <c:pt idx="21">
                  <c:v>Octubre</c:v>
                </c:pt>
                <c:pt idx="22">
                  <c:v>Noviembre</c:v>
                </c:pt>
                <c:pt idx="23">
                  <c:v>Diciembre</c:v>
                </c:pt>
              </c:strCache>
            </c:strRef>
          </c:cat>
          <c:val>
            <c:numRef>
              <c:f>metro!$F$66:$F$89</c:f>
              <c:numCache>
                <c:formatCode>_ * #,##0_ ;_ * \-#,##0_ ;_ * "-"??_ ;_ @_ </c:formatCode>
                <c:ptCount val="24"/>
                <c:pt idx="0">
                  <c:v>29708</c:v>
                </c:pt>
                <c:pt idx="1">
                  <c:v>14824</c:v>
                </c:pt>
                <c:pt idx="2">
                  <c:v>10656</c:v>
                </c:pt>
                <c:pt idx="3">
                  <c:v>8585</c:v>
                </c:pt>
                <c:pt idx="4">
                  <c:v>7141</c:v>
                </c:pt>
                <c:pt idx="5">
                  <c:v>5605</c:v>
                </c:pt>
                <c:pt idx="6">
                  <c:v>5811</c:v>
                </c:pt>
                <c:pt idx="7">
                  <c:v>7607</c:v>
                </c:pt>
                <c:pt idx="8">
                  <c:v>13122</c:v>
                </c:pt>
                <c:pt idx="9">
                  <c:v>18141</c:v>
                </c:pt>
                <c:pt idx="10">
                  <c:v>19516</c:v>
                </c:pt>
                <c:pt idx="11">
                  <c:v>22374</c:v>
                </c:pt>
                <c:pt idx="12">
                  <c:v>10093</c:v>
                </c:pt>
                <c:pt idx="13">
                  <c:v>6940</c:v>
                </c:pt>
                <c:pt idx="14">
                  <c:v>7423</c:v>
                </c:pt>
                <c:pt idx="15">
                  <c:v>8371</c:v>
                </c:pt>
                <c:pt idx="16">
                  <c:v>10368</c:v>
                </c:pt>
                <c:pt idx="17">
                  <c:v>9129</c:v>
                </c:pt>
                <c:pt idx="18">
                  <c:v>7908</c:v>
                </c:pt>
                <c:pt idx="19">
                  <c:v>8646</c:v>
                </c:pt>
                <c:pt idx="20">
                  <c:v>10352</c:v>
                </c:pt>
                <c:pt idx="21">
                  <c:v>10278</c:v>
                </c:pt>
                <c:pt idx="22">
                  <c:v>10394</c:v>
                </c:pt>
                <c:pt idx="23">
                  <c:v>9541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AA-4BC9-B999-4F2DBA836E0C}"/>
            </c:ext>
          </c:extLst>
        </c:ser>
        <c:ser>
          <c:idx val="2"/>
          <c:order val="2"/>
          <c:tx>
            <c:strRef>
              <c:f>metro!$G$64</c:f>
              <c:strCache>
                <c:ptCount val="1"/>
                <c:pt idx="0">
                  <c:v>Tarjetas Cuidad Entregadas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cat>
            <c:strRef>
              <c:f>metro!$D$66:$D$89</c:f>
              <c:strCache>
                <c:ptCount val="24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  <c:pt idx="12">
                  <c:v>Enero</c:v>
                </c:pt>
                <c:pt idx="13">
                  <c:v>Febrero</c:v>
                </c:pt>
                <c:pt idx="14">
                  <c:v>Marzo</c:v>
                </c:pt>
                <c:pt idx="15">
                  <c:v>Abril</c:v>
                </c:pt>
                <c:pt idx="16">
                  <c:v>Mayo</c:v>
                </c:pt>
                <c:pt idx="17">
                  <c:v>Junio</c:v>
                </c:pt>
                <c:pt idx="18">
                  <c:v>Julio</c:v>
                </c:pt>
                <c:pt idx="19">
                  <c:v>Agosto</c:v>
                </c:pt>
                <c:pt idx="20">
                  <c:v>Septiembre</c:v>
                </c:pt>
                <c:pt idx="21">
                  <c:v>Octubre</c:v>
                </c:pt>
                <c:pt idx="22">
                  <c:v>Noviembre</c:v>
                </c:pt>
                <c:pt idx="23">
                  <c:v>Diciembre</c:v>
                </c:pt>
              </c:strCache>
            </c:strRef>
          </c:cat>
          <c:val>
            <c:numRef>
              <c:f>metro!$G$66:$G$89</c:f>
              <c:numCache>
                <c:formatCode>_ * #,##0_ ;_ * \-#,##0_ ;_ * "-"??_ ;_ @_ </c:formatCode>
                <c:ptCount val="24"/>
                <c:pt idx="0">
                  <c:v>34572</c:v>
                </c:pt>
                <c:pt idx="1">
                  <c:v>16639</c:v>
                </c:pt>
                <c:pt idx="2">
                  <c:v>11824</c:v>
                </c:pt>
                <c:pt idx="3">
                  <c:v>9372</c:v>
                </c:pt>
                <c:pt idx="4">
                  <c:v>7770</c:v>
                </c:pt>
                <c:pt idx="5">
                  <c:v>5849</c:v>
                </c:pt>
                <c:pt idx="6">
                  <c:v>5669</c:v>
                </c:pt>
                <c:pt idx="7">
                  <c:v>7410</c:v>
                </c:pt>
                <c:pt idx="8">
                  <c:v>13523</c:v>
                </c:pt>
                <c:pt idx="9">
                  <c:v>18817</c:v>
                </c:pt>
                <c:pt idx="10">
                  <c:v>20401</c:v>
                </c:pt>
                <c:pt idx="11">
                  <c:v>23438</c:v>
                </c:pt>
                <c:pt idx="12">
                  <c:v>6239</c:v>
                </c:pt>
                <c:pt idx="13">
                  <c:v>2625</c:v>
                </c:pt>
                <c:pt idx="14">
                  <c:v>1018</c:v>
                </c:pt>
                <c:pt idx="15">
                  <c:v>23</c:v>
                </c:pt>
                <c:pt idx="16">
                  <c:v>7997</c:v>
                </c:pt>
                <c:pt idx="17">
                  <c:v>7795</c:v>
                </c:pt>
                <c:pt idx="18">
                  <c:v>6558</c:v>
                </c:pt>
                <c:pt idx="19">
                  <c:v>6466</c:v>
                </c:pt>
                <c:pt idx="20">
                  <c:v>9542</c:v>
                </c:pt>
                <c:pt idx="21">
                  <c:v>9764</c:v>
                </c:pt>
                <c:pt idx="22">
                  <c:v>8657</c:v>
                </c:pt>
                <c:pt idx="23">
                  <c:v>6959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AA-4BC9-B999-4F2DBA836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1554139823"/>
        <c:axId val="1554140239"/>
      </c:barChart>
      <c:catAx>
        <c:axId val="155413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54140239"/>
        <c:crosses val="autoZero"/>
        <c:auto val="1"/>
        <c:lblAlgn val="ctr"/>
        <c:lblOffset val="100"/>
        <c:noMultiLvlLbl val="0"/>
      </c:catAx>
      <c:valAx>
        <c:axId val="1554140239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5413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5291</xdr:colOff>
      <xdr:row>65</xdr:row>
      <xdr:rowOff>102686</xdr:rowOff>
    </xdr:from>
    <xdr:to>
      <xdr:col>23</xdr:col>
      <xdr:colOff>0</xdr:colOff>
      <xdr:row>88</xdr:row>
      <xdr:rowOff>53474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33BA6B-DF50-4EA3-82E1-9CA810BC8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trodequito.gob.ec/wp-content/uploads/2025/12/25-12-23-Boletin-Estadistico-12-2025.pdf" TargetMode="External"/><Relationship Id="rId2" Type="http://schemas.openxmlformats.org/officeDocument/2006/relationships/hyperlink" Target="https://metrodequito.gob.ec/wp-content/uploads/2025/12/25-12-23-Boletin-Estadistico-12-2025.pdf" TargetMode="External"/><Relationship Id="rId1" Type="http://schemas.openxmlformats.org/officeDocument/2006/relationships/hyperlink" Target="https://metrodequito.gob.ec/wp-content/uploads/2026/01/26-01-22-Boletin-Estadistico-01-2026.pdf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etrodequito.gob.ec/wp-content/uploads/2025/12/25-12-23-Boletin-Estadistico-12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7F60-CB42-458F-AD1F-948F9744ACC0}">
  <sheetPr>
    <tabColor rgb="FFFF0000"/>
  </sheetPr>
  <dimension ref="C2:R97"/>
  <sheetViews>
    <sheetView tabSelected="1" topLeftCell="B64" zoomScaleNormal="100" workbookViewId="0">
      <selection activeCell="I104" sqref="I104"/>
    </sheetView>
  </sheetViews>
  <sheetFormatPr baseColWidth="10" defaultRowHeight="15" x14ac:dyDescent="0.25"/>
  <cols>
    <col min="4" max="4" width="18" customWidth="1"/>
    <col min="5" max="5" width="15" customWidth="1"/>
    <col min="6" max="6" width="15.5703125" customWidth="1"/>
    <col min="7" max="7" width="17.140625" customWidth="1"/>
    <col min="8" max="9" width="15.42578125" customWidth="1"/>
    <col min="10" max="10" width="15.140625" bestFit="1" customWidth="1"/>
    <col min="11" max="11" width="13.5703125" bestFit="1" customWidth="1"/>
  </cols>
  <sheetData>
    <row r="2" spans="4:10" x14ac:dyDescent="0.25">
      <c r="D2" s="39" t="s">
        <v>0</v>
      </c>
      <c r="E2" s="39"/>
      <c r="F2" s="39"/>
      <c r="G2" s="39"/>
    </row>
    <row r="4" spans="4:10" x14ac:dyDescent="0.25">
      <c r="D4" t="s">
        <v>1</v>
      </c>
      <c r="H4" s="47"/>
    </row>
    <row r="6" spans="4:10" x14ac:dyDescent="0.25">
      <c r="D6" s="1" t="s">
        <v>2</v>
      </c>
      <c r="E6" s="1">
        <v>2023</v>
      </c>
      <c r="F6" s="1">
        <v>2024</v>
      </c>
      <c r="G6" s="1">
        <v>2025</v>
      </c>
    </row>
    <row r="7" spans="4:10" x14ac:dyDescent="0.25">
      <c r="D7" s="2" t="s">
        <v>3</v>
      </c>
      <c r="E7" s="2"/>
      <c r="F7" s="3">
        <v>3866631</v>
      </c>
      <c r="G7" s="3">
        <v>5161617</v>
      </c>
    </row>
    <row r="8" spans="4:10" x14ac:dyDescent="0.25">
      <c r="D8" s="2" t="s">
        <v>4</v>
      </c>
      <c r="E8" s="2"/>
      <c r="F8" s="3">
        <v>3953458</v>
      </c>
      <c r="G8" s="3">
        <v>4838024</v>
      </c>
      <c r="I8" t="s">
        <v>63</v>
      </c>
      <c r="J8" t="s">
        <v>48</v>
      </c>
    </row>
    <row r="9" spans="4:10" x14ac:dyDescent="0.25">
      <c r="D9" s="2" t="s">
        <v>5</v>
      </c>
      <c r="E9" s="2"/>
      <c r="F9" s="4">
        <v>4217734</v>
      </c>
      <c r="G9" s="3">
        <v>4801942</v>
      </c>
    </row>
    <row r="10" spans="4:10" x14ac:dyDescent="0.25">
      <c r="D10" s="2" t="s">
        <v>6</v>
      </c>
      <c r="E10" s="2"/>
      <c r="F10" s="3">
        <v>4270757</v>
      </c>
      <c r="G10" s="3">
        <v>5262322</v>
      </c>
    </row>
    <row r="11" spans="4:10" x14ac:dyDescent="0.25">
      <c r="D11" s="2" t="s">
        <v>7</v>
      </c>
      <c r="E11" s="2"/>
      <c r="F11" s="3">
        <v>4581137</v>
      </c>
      <c r="G11" s="3">
        <v>5380445</v>
      </c>
    </row>
    <row r="12" spans="4:10" x14ac:dyDescent="0.25">
      <c r="D12" s="2" t="s">
        <v>8</v>
      </c>
      <c r="E12" s="2"/>
      <c r="F12" s="3">
        <v>4442398</v>
      </c>
      <c r="G12" s="3">
        <v>5360869</v>
      </c>
    </row>
    <row r="13" spans="4:10" x14ac:dyDescent="0.25">
      <c r="D13" s="2" t="s">
        <v>9</v>
      </c>
      <c r="E13" s="2"/>
      <c r="F13" s="3">
        <v>4698801</v>
      </c>
      <c r="G13" s="3">
        <v>5526167</v>
      </c>
      <c r="I13" s="47"/>
    </row>
    <row r="14" spans="4:10" x14ac:dyDescent="0.25">
      <c r="D14" s="2" t="s">
        <v>10</v>
      </c>
      <c r="E14" s="2"/>
      <c r="F14" s="3">
        <v>4566902</v>
      </c>
      <c r="G14" s="3">
        <v>5160533</v>
      </c>
    </row>
    <row r="15" spans="4:10" x14ac:dyDescent="0.25">
      <c r="D15" s="2" t="s">
        <v>11</v>
      </c>
      <c r="E15" s="2"/>
      <c r="F15" s="3">
        <v>4262183</v>
      </c>
      <c r="G15" s="3">
        <v>4935180</v>
      </c>
    </row>
    <row r="16" spans="4:10" x14ac:dyDescent="0.25">
      <c r="D16" s="2" t="s">
        <v>12</v>
      </c>
      <c r="E16" s="2"/>
      <c r="F16" s="3">
        <v>4952842</v>
      </c>
      <c r="G16" s="3">
        <v>5309009</v>
      </c>
    </row>
    <row r="17" spans="4:18" x14ac:dyDescent="0.25">
      <c r="D17" s="2" t="s">
        <v>13</v>
      </c>
      <c r="E17" s="2"/>
      <c r="F17" s="3">
        <v>5042626</v>
      </c>
      <c r="G17" s="3">
        <v>5703137</v>
      </c>
    </row>
    <row r="18" spans="4:18" x14ac:dyDescent="0.25">
      <c r="D18" s="2" t="s">
        <v>14</v>
      </c>
      <c r="E18" s="3">
        <v>4434284</v>
      </c>
      <c r="F18" s="3">
        <v>5569512</v>
      </c>
      <c r="G18" s="3">
        <v>6120421</v>
      </c>
    </row>
    <row r="20" spans="4:18" x14ac:dyDescent="0.25">
      <c r="D20" t="s">
        <v>15</v>
      </c>
      <c r="F20" s="5">
        <f>E18+F7+F8+F9+F10+F11+F12+F13+F14+F15+F16+F17</f>
        <v>53289753</v>
      </c>
      <c r="H20">
        <v>53289753</v>
      </c>
    </row>
    <row r="21" spans="4:18" x14ac:dyDescent="0.25">
      <c r="D21" t="s">
        <v>16</v>
      </c>
      <c r="F21" s="5">
        <f>F18+G7+G8+G9+G10+G11+G12+G13+G14+G15+G16+G17</f>
        <v>63008757</v>
      </c>
      <c r="H21">
        <v>63008757</v>
      </c>
    </row>
    <row r="24" spans="4:18" x14ac:dyDescent="0.25">
      <c r="D24" s="37" t="s">
        <v>17</v>
      </c>
      <c r="E24" s="38" t="s">
        <v>18</v>
      </c>
      <c r="F24" s="38" t="s">
        <v>19</v>
      </c>
      <c r="G24" s="38" t="s">
        <v>20</v>
      </c>
      <c r="H24" s="38" t="s">
        <v>21</v>
      </c>
      <c r="I24" s="36" t="s">
        <v>22</v>
      </c>
    </row>
    <row r="25" spans="4:18" x14ac:dyDescent="0.25">
      <c r="D25" s="37"/>
      <c r="E25" s="38"/>
      <c r="F25" s="38"/>
      <c r="G25" s="38"/>
      <c r="H25" s="38"/>
      <c r="I25" s="36"/>
    </row>
    <row r="26" spans="4:18" x14ac:dyDescent="0.25">
      <c r="D26" s="6" t="s">
        <v>23</v>
      </c>
      <c r="E26" s="7">
        <v>45644077</v>
      </c>
      <c r="F26" s="7">
        <v>6343718</v>
      </c>
      <c r="G26" s="7">
        <v>1301538</v>
      </c>
      <c r="H26" s="7">
        <v>420</v>
      </c>
      <c r="I26" s="8">
        <f>SUM(E26:H26)</f>
        <v>53289753</v>
      </c>
      <c r="J26" s="45" t="s">
        <v>61</v>
      </c>
      <c r="K26" s="48" t="s">
        <v>48</v>
      </c>
      <c r="L26" s="46"/>
      <c r="M26" s="46"/>
      <c r="N26" s="46"/>
      <c r="O26" s="46"/>
      <c r="P26" s="46"/>
      <c r="Q26" s="46"/>
      <c r="R26" s="46"/>
    </row>
    <row r="27" spans="4:18" x14ac:dyDescent="0.25">
      <c r="D27" s="6" t="s">
        <v>24</v>
      </c>
      <c r="E27" s="7">
        <v>54749151</v>
      </c>
      <c r="F27" s="7">
        <v>6499377</v>
      </c>
      <c r="G27" s="7">
        <v>1760205</v>
      </c>
      <c r="H27" s="7">
        <v>24</v>
      </c>
      <c r="I27" s="8">
        <f>SUM(E27:H27)</f>
        <v>63008757</v>
      </c>
      <c r="J27" s="45"/>
      <c r="K27" s="46"/>
      <c r="L27" s="46"/>
      <c r="M27" s="46"/>
      <c r="N27" s="46"/>
      <c r="O27" s="46"/>
      <c r="P27" s="46"/>
      <c r="Q27" s="46"/>
      <c r="R27" s="46"/>
    </row>
    <row r="29" spans="4:18" x14ac:dyDescent="0.25">
      <c r="L29" s="9"/>
    </row>
    <row r="30" spans="4:18" x14ac:dyDescent="0.25">
      <c r="D30" s="6" t="s">
        <v>25</v>
      </c>
      <c r="E30" s="6" t="s">
        <v>26</v>
      </c>
    </row>
    <row r="31" spans="4:18" x14ac:dyDescent="0.25">
      <c r="D31" s="10" t="s">
        <v>27</v>
      </c>
      <c r="E31" s="11">
        <v>0.45</v>
      </c>
    </row>
    <row r="32" spans="4:18" x14ac:dyDescent="0.25">
      <c r="D32" s="10" t="s">
        <v>28</v>
      </c>
      <c r="E32" s="11">
        <v>0.22</v>
      </c>
    </row>
    <row r="33" spans="4:13" x14ac:dyDescent="0.25">
      <c r="D33" s="10" t="s">
        <v>29</v>
      </c>
      <c r="E33" s="11">
        <v>0.1</v>
      </c>
    </row>
    <row r="34" spans="4:13" x14ac:dyDescent="0.25">
      <c r="D34" s="10" t="s">
        <v>30</v>
      </c>
      <c r="E34" s="11">
        <v>0</v>
      </c>
    </row>
    <row r="37" spans="4:13" ht="15" customHeight="1" x14ac:dyDescent="0.25">
      <c r="D37" s="37" t="s">
        <v>17</v>
      </c>
      <c r="E37" s="38" t="s">
        <v>31</v>
      </c>
      <c r="F37" s="38" t="s">
        <v>32</v>
      </c>
      <c r="G37" s="38" t="s">
        <v>33</v>
      </c>
      <c r="H37" s="38" t="s">
        <v>21</v>
      </c>
      <c r="I37" s="36" t="s">
        <v>34</v>
      </c>
    </row>
    <row r="38" spans="4:13" x14ac:dyDescent="0.25">
      <c r="D38" s="37"/>
      <c r="E38" s="38"/>
      <c r="F38" s="38"/>
      <c r="G38" s="38"/>
      <c r="H38" s="38"/>
      <c r="I38" s="36"/>
    </row>
    <row r="39" spans="4:13" x14ac:dyDescent="0.25">
      <c r="D39" s="6" t="s">
        <v>23</v>
      </c>
      <c r="E39" s="12">
        <f>E26*E31</f>
        <v>20539834.650000002</v>
      </c>
      <c r="F39" s="12">
        <f>F26*E32</f>
        <v>1395617.96</v>
      </c>
      <c r="G39" s="12">
        <f>G26*E33</f>
        <v>130153.8</v>
      </c>
      <c r="H39" s="12">
        <f>H26*E34</f>
        <v>0</v>
      </c>
      <c r="I39" s="13">
        <f>SUM(E39:H39)</f>
        <v>22065606.410000004</v>
      </c>
      <c r="K39">
        <v>22065606.41</v>
      </c>
    </row>
    <row r="40" spans="4:13" x14ac:dyDescent="0.25">
      <c r="D40" s="6" t="s">
        <v>24</v>
      </c>
      <c r="E40" s="12">
        <f>E27*E31</f>
        <v>24637117.949999999</v>
      </c>
      <c r="F40" s="12">
        <f>F27*E32</f>
        <v>1429862.94</v>
      </c>
      <c r="G40" s="12">
        <f>G27*E33</f>
        <v>176020.5</v>
      </c>
      <c r="H40" s="12">
        <f>H27*E34</f>
        <v>0</v>
      </c>
      <c r="I40" s="13">
        <f>SUM(E40:H40)</f>
        <v>26243001.390000001</v>
      </c>
      <c r="K40">
        <v>26243001.390000001</v>
      </c>
    </row>
    <row r="42" spans="4:13" x14ac:dyDescent="0.25">
      <c r="E42" s="14" t="s">
        <v>35</v>
      </c>
    </row>
    <row r="44" spans="4:13" x14ac:dyDescent="0.25">
      <c r="D44" s="6" t="s">
        <v>36</v>
      </c>
      <c r="E44" s="6" t="s">
        <v>37</v>
      </c>
      <c r="F44" s="6" t="s">
        <v>38</v>
      </c>
      <c r="G44" s="6" t="s">
        <v>39</v>
      </c>
      <c r="H44" s="6" t="s">
        <v>22</v>
      </c>
      <c r="I44" s="15"/>
      <c r="J44" s="15"/>
    </row>
    <row r="45" spans="4:13" x14ac:dyDescent="0.25">
      <c r="D45" s="16" t="s">
        <v>40</v>
      </c>
      <c r="E45" s="17">
        <v>0.53</v>
      </c>
      <c r="F45" s="18">
        <f>I39*E45</f>
        <v>11694771.397300003</v>
      </c>
      <c r="G45" s="18">
        <f>I40*E45</f>
        <v>13908790.7367</v>
      </c>
      <c r="H45" s="19">
        <f>F45+G45</f>
        <v>25603562.134000003</v>
      </c>
      <c r="J45" s="41"/>
    </row>
    <row r="46" spans="4:13" x14ac:dyDescent="0.25">
      <c r="D46" s="2" t="s">
        <v>41</v>
      </c>
      <c r="E46" s="20">
        <v>0.47</v>
      </c>
      <c r="F46" s="13">
        <f>I39*E46</f>
        <v>10370835.012700001</v>
      </c>
      <c r="G46" s="13">
        <f>I40*E46</f>
        <v>12334210.6533</v>
      </c>
      <c r="H46" s="21">
        <f>F46+G46</f>
        <v>22705045.666000001</v>
      </c>
      <c r="J46" s="41">
        <v>10370835.012700001</v>
      </c>
      <c r="L46" t="s">
        <v>65</v>
      </c>
      <c r="M46" t="s">
        <v>66</v>
      </c>
    </row>
    <row r="47" spans="4:13" x14ac:dyDescent="0.25">
      <c r="D47" s="2" t="s">
        <v>42</v>
      </c>
      <c r="E47" s="20">
        <f>E45+E46</f>
        <v>1</v>
      </c>
      <c r="F47" s="13">
        <f>F45+F46</f>
        <v>22065606.410000004</v>
      </c>
      <c r="G47" s="13">
        <f t="shared" ref="F47:G47" si="0">G45+G46</f>
        <v>26243001.390000001</v>
      </c>
      <c r="H47" s="2"/>
      <c r="J47" s="42">
        <v>12334210.6533</v>
      </c>
    </row>
    <row r="49" spans="3:13" x14ac:dyDescent="0.25">
      <c r="D49" s="43" t="s">
        <v>43</v>
      </c>
      <c r="E49" s="43"/>
      <c r="F49" s="43"/>
      <c r="G49" s="43"/>
      <c r="M49" s="47"/>
    </row>
    <row r="51" spans="3:13" ht="33.75" customHeight="1" x14ac:dyDescent="0.25">
      <c r="D51" s="22" t="s">
        <v>44</v>
      </c>
      <c r="E51" s="22" t="s">
        <v>45</v>
      </c>
      <c r="F51" s="22" t="s">
        <v>46</v>
      </c>
      <c r="G51" s="22" t="s">
        <v>47</v>
      </c>
    </row>
    <row r="52" spans="3:13" x14ac:dyDescent="0.25">
      <c r="D52" s="23">
        <v>2024</v>
      </c>
      <c r="E52" s="24">
        <v>12207088440</v>
      </c>
      <c r="F52" s="25">
        <f>F46</f>
        <v>10370835.012700001</v>
      </c>
      <c r="G52" s="26">
        <f>F52/E52</f>
        <v>8.4957482397825582E-4</v>
      </c>
      <c r="J52" t="s">
        <v>67</v>
      </c>
      <c r="K52" t="s">
        <v>68</v>
      </c>
    </row>
    <row r="53" spans="3:13" x14ac:dyDescent="0.25">
      <c r="D53" s="23">
        <v>2025</v>
      </c>
      <c r="E53" s="24">
        <v>14658240959</v>
      </c>
      <c r="F53" s="25">
        <f>G46</f>
        <v>12334210.6533</v>
      </c>
      <c r="G53" s="26">
        <f>F53/E53</f>
        <v>8.414523057575288E-4</v>
      </c>
    </row>
    <row r="57" spans="3:13" x14ac:dyDescent="0.25">
      <c r="D57" s="49" t="s">
        <v>62</v>
      </c>
      <c r="E57" s="33" t="s">
        <v>48</v>
      </c>
    </row>
    <row r="58" spans="3:13" x14ac:dyDescent="0.25">
      <c r="D58" s="49"/>
      <c r="E58" t="s">
        <v>49</v>
      </c>
    </row>
    <row r="61" spans="3:13" x14ac:dyDescent="0.25">
      <c r="D61" s="40" t="s">
        <v>50</v>
      </c>
      <c r="E61" s="40"/>
      <c r="F61" s="40"/>
      <c r="G61" s="40"/>
    </row>
    <row r="64" spans="3:13" ht="29.25" customHeight="1" x14ac:dyDescent="0.25">
      <c r="C64" s="27" t="s">
        <v>51</v>
      </c>
      <c r="D64" s="27" t="s">
        <v>52</v>
      </c>
      <c r="E64" s="28" t="s">
        <v>53</v>
      </c>
      <c r="F64" s="29" t="s">
        <v>54</v>
      </c>
      <c r="G64" s="29" t="s">
        <v>55</v>
      </c>
    </row>
    <row r="65" spans="3:7" x14ac:dyDescent="0.25">
      <c r="C65" s="30">
        <v>2023</v>
      </c>
      <c r="D65" s="23" t="s">
        <v>14</v>
      </c>
      <c r="E65" s="24">
        <v>410735</v>
      </c>
      <c r="F65" s="24">
        <v>128285</v>
      </c>
      <c r="G65" s="24">
        <v>83687</v>
      </c>
    </row>
    <row r="66" spans="3:7" x14ac:dyDescent="0.25">
      <c r="C66" s="34">
        <v>2024</v>
      </c>
      <c r="D66" s="23" t="s">
        <v>3</v>
      </c>
      <c r="E66" s="24">
        <v>39015</v>
      </c>
      <c r="F66" s="24">
        <v>29708</v>
      </c>
      <c r="G66" s="24">
        <v>34572</v>
      </c>
    </row>
    <row r="67" spans="3:7" x14ac:dyDescent="0.25">
      <c r="C67" s="34"/>
      <c r="D67" s="23" t="s">
        <v>4</v>
      </c>
      <c r="E67" s="24">
        <v>19380</v>
      </c>
      <c r="F67" s="24">
        <v>14824</v>
      </c>
      <c r="G67" s="24">
        <v>16639</v>
      </c>
    </row>
    <row r="68" spans="3:7" x14ac:dyDescent="0.25">
      <c r="C68" s="34"/>
      <c r="D68" s="23" t="s">
        <v>5</v>
      </c>
      <c r="E68" s="24">
        <v>13387</v>
      </c>
      <c r="F68" s="24">
        <v>10656</v>
      </c>
      <c r="G68" s="24">
        <v>11824</v>
      </c>
    </row>
    <row r="69" spans="3:7" x14ac:dyDescent="0.25">
      <c r="C69" s="34"/>
      <c r="D69" s="23" t="s">
        <v>6</v>
      </c>
      <c r="E69" s="24">
        <v>10646</v>
      </c>
      <c r="F69" s="24">
        <v>8585</v>
      </c>
      <c r="G69" s="24">
        <v>9372</v>
      </c>
    </row>
    <row r="70" spans="3:7" x14ac:dyDescent="0.25">
      <c r="C70" s="34"/>
      <c r="D70" s="23" t="s">
        <v>7</v>
      </c>
      <c r="E70" s="24">
        <v>9039</v>
      </c>
      <c r="F70" s="24">
        <v>7141</v>
      </c>
      <c r="G70" s="24">
        <v>7770</v>
      </c>
    </row>
    <row r="71" spans="3:7" x14ac:dyDescent="0.25">
      <c r="C71" s="34"/>
      <c r="D71" s="23" t="s">
        <v>8</v>
      </c>
      <c r="E71" s="24">
        <v>7356</v>
      </c>
      <c r="F71" s="24">
        <v>5605</v>
      </c>
      <c r="G71" s="24">
        <v>5849</v>
      </c>
    </row>
    <row r="72" spans="3:7" x14ac:dyDescent="0.25">
      <c r="C72" s="34"/>
      <c r="D72" s="23" t="s">
        <v>9</v>
      </c>
      <c r="E72" s="24">
        <v>7111</v>
      </c>
      <c r="F72" s="24">
        <v>5811</v>
      </c>
      <c r="G72" s="24">
        <v>5669</v>
      </c>
    </row>
    <row r="73" spans="3:7" x14ac:dyDescent="0.25">
      <c r="C73" s="34"/>
      <c r="D73" s="23" t="s">
        <v>10</v>
      </c>
      <c r="E73" s="24">
        <v>11561</v>
      </c>
      <c r="F73" s="24">
        <v>7607</v>
      </c>
      <c r="G73" s="24">
        <v>7410</v>
      </c>
    </row>
    <row r="74" spans="3:7" x14ac:dyDescent="0.25">
      <c r="C74" s="34"/>
      <c r="D74" s="23" t="s">
        <v>11</v>
      </c>
      <c r="E74" s="24">
        <v>22180</v>
      </c>
      <c r="F74" s="24">
        <v>13122</v>
      </c>
      <c r="G74" s="24">
        <v>13523</v>
      </c>
    </row>
    <row r="75" spans="3:7" x14ac:dyDescent="0.25">
      <c r="C75" s="34"/>
      <c r="D75" s="23" t="s">
        <v>12</v>
      </c>
      <c r="E75" s="24">
        <v>21915</v>
      </c>
      <c r="F75" s="24">
        <v>18141</v>
      </c>
      <c r="G75" s="24">
        <v>18817</v>
      </c>
    </row>
    <row r="76" spans="3:7" x14ac:dyDescent="0.25">
      <c r="C76" s="34"/>
      <c r="D76" s="23" t="s">
        <v>13</v>
      </c>
      <c r="E76" s="24">
        <v>24154</v>
      </c>
      <c r="F76" s="24">
        <v>19516</v>
      </c>
      <c r="G76" s="24">
        <v>20401</v>
      </c>
    </row>
    <row r="77" spans="3:7" x14ac:dyDescent="0.25">
      <c r="C77" s="34"/>
      <c r="D77" s="23" t="s">
        <v>14</v>
      </c>
      <c r="E77" s="24">
        <v>26435</v>
      </c>
      <c r="F77" s="24">
        <v>22374</v>
      </c>
      <c r="G77" s="24">
        <v>23438</v>
      </c>
    </row>
    <row r="78" spans="3:7" x14ac:dyDescent="0.25">
      <c r="C78" s="34">
        <v>2025</v>
      </c>
      <c r="D78" s="23" t="s">
        <v>56</v>
      </c>
      <c r="E78" s="24">
        <v>10849</v>
      </c>
      <c r="F78" s="24">
        <v>10093</v>
      </c>
      <c r="G78" s="24">
        <v>6239</v>
      </c>
    </row>
    <row r="79" spans="3:7" x14ac:dyDescent="0.25">
      <c r="C79" s="34"/>
      <c r="D79" s="23" t="s">
        <v>4</v>
      </c>
      <c r="E79" s="24">
        <v>8149</v>
      </c>
      <c r="F79" s="24">
        <v>6940</v>
      </c>
      <c r="G79" s="24">
        <v>2625</v>
      </c>
    </row>
    <row r="80" spans="3:7" x14ac:dyDescent="0.25">
      <c r="C80" s="34"/>
      <c r="D80" s="23" t="s">
        <v>5</v>
      </c>
      <c r="E80" s="24">
        <v>11189</v>
      </c>
      <c r="F80" s="24">
        <v>7423</v>
      </c>
      <c r="G80" s="24">
        <v>1018</v>
      </c>
    </row>
    <row r="81" spans="3:12" x14ac:dyDescent="0.25">
      <c r="C81" s="34"/>
      <c r="D81" s="23" t="s">
        <v>6</v>
      </c>
      <c r="E81" s="24">
        <v>12928</v>
      </c>
      <c r="F81" s="24">
        <v>8371</v>
      </c>
      <c r="G81" s="24">
        <v>23</v>
      </c>
    </row>
    <row r="82" spans="3:12" x14ac:dyDescent="0.25">
      <c r="C82" s="34"/>
      <c r="D82" s="23" t="s">
        <v>7</v>
      </c>
      <c r="E82" s="24">
        <v>13748</v>
      </c>
      <c r="F82" s="24">
        <v>10368</v>
      </c>
      <c r="G82" s="24">
        <v>7997</v>
      </c>
    </row>
    <row r="83" spans="3:12" x14ac:dyDescent="0.25">
      <c r="C83" s="34"/>
      <c r="D83" s="23" t="s">
        <v>8</v>
      </c>
      <c r="E83" s="24">
        <v>22058</v>
      </c>
      <c r="F83" s="24">
        <v>9129</v>
      </c>
      <c r="G83" s="24">
        <v>7795</v>
      </c>
    </row>
    <row r="84" spans="3:12" x14ac:dyDescent="0.25">
      <c r="C84" s="34"/>
      <c r="D84" s="23" t="s">
        <v>9</v>
      </c>
      <c r="E84" s="24">
        <v>9635</v>
      </c>
      <c r="F84" s="24">
        <v>7908</v>
      </c>
      <c r="G84" s="24">
        <v>6558</v>
      </c>
    </row>
    <row r="85" spans="3:12" x14ac:dyDescent="0.25">
      <c r="C85" s="34"/>
      <c r="D85" s="23" t="s">
        <v>10</v>
      </c>
      <c r="E85" s="24">
        <v>12661</v>
      </c>
      <c r="F85" s="24">
        <v>8646</v>
      </c>
      <c r="G85" s="24">
        <v>6466</v>
      </c>
    </row>
    <row r="86" spans="3:12" x14ac:dyDescent="0.25">
      <c r="C86" s="34"/>
      <c r="D86" s="23" t="s">
        <v>11</v>
      </c>
      <c r="E86" s="24">
        <v>11478</v>
      </c>
      <c r="F86" s="24">
        <v>10352</v>
      </c>
      <c r="G86" s="24">
        <v>9542</v>
      </c>
    </row>
    <row r="87" spans="3:12" x14ac:dyDescent="0.25">
      <c r="C87" s="34"/>
      <c r="D87" s="23" t="s">
        <v>12</v>
      </c>
      <c r="E87" s="24">
        <v>11669</v>
      </c>
      <c r="F87" s="24">
        <v>10278</v>
      </c>
      <c r="G87" s="24">
        <v>9764</v>
      </c>
    </row>
    <row r="88" spans="3:12" x14ac:dyDescent="0.25">
      <c r="C88" s="34"/>
      <c r="D88" s="23" t="s">
        <v>13</v>
      </c>
      <c r="E88" s="24">
        <v>13192</v>
      </c>
      <c r="F88" s="24">
        <v>10394</v>
      </c>
      <c r="G88" s="24">
        <v>8657</v>
      </c>
    </row>
    <row r="89" spans="3:12" x14ac:dyDescent="0.25">
      <c r="C89" s="34"/>
      <c r="D89" s="23" t="s">
        <v>14</v>
      </c>
      <c r="E89" s="24">
        <v>13803</v>
      </c>
      <c r="F89" s="24">
        <v>9541</v>
      </c>
      <c r="G89" s="24">
        <v>6959</v>
      </c>
    </row>
    <row r="90" spans="3:12" x14ac:dyDescent="0.25">
      <c r="C90" s="35" t="s">
        <v>57</v>
      </c>
      <c r="D90" s="35"/>
      <c r="E90" s="24">
        <v>774273</v>
      </c>
      <c r="F90" s="24">
        <v>400818</v>
      </c>
      <c r="G90" s="24">
        <v>332614</v>
      </c>
    </row>
    <row r="91" spans="3:12" x14ac:dyDescent="0.25">
      <c r="C91" s="31"/>
      <c r="D91" s="31"/>
      <c r="E91" s="32"/>
      <c r="F91" s="32"/>
      <c r="G91" s="32"/>
    </row>
    <row r="92" spans="3:12" x14ac:dyDescent="0.25">
      <c r="C92" s="31"/>
      <c r="D92" s="31"/>
      <c r="E92" s="32"/>
      <c r="F92" s="32"/>
      <c r="G92" s="32"/>
    </row>
    <row r="93" spans="3:12" x14ac:dyDescent="0.25">
      <c r="C93" s="31"/>
      <c r="D93" s="31"/>
      <c r="E93" s="32"/>
      <c r="F93" s="32"/>
      <c r="G93" s="32"/>
    </row>
    <row r="94" spans="3:12" x14ac:dyDescent="0.25">
      <c r="C94" s="31"/>
      <c r="D94" s="31"/>
      <c r="E94" s="32"/>
      <c r="F94" s="32"/>
      <c r="G94" s="32"/>
    </row>
    <row r="96" spans="3:12" x14ac:dyDescent="0.25">
      <c r="C96" s="44" t="s">
        <v>64</v>
      </c>
      <c r="D96" s="44"/>
      <c r="E96" s="33" t="s">
        <v>48</v>
      </c>
      <c r="K96" t="s">
        <v>58</v>
      </c>
      <c r="L96">
        <v>31</v>
      </c>
    </row>
    <row r="97" spans="5:12" x14ac:dyDescent="0.25">
      <c r="E97" s="33" t="s">
        <v>59</v>
      </c>
      <c r="K97" t="s">
        <v>60</v>
      </c>
      <c r="L97">
        <v>27</v>
      </c>
    </row>
  </sheetData>
  <mergeCells count="22">
    <mergeCell ref="J26:J27"/>
    <mergeCell ref="K26:R27"/>
    <mergeCell ref="D57:D58"/>
    <mergeCell ref="C96:D96"/>
    <mergeCell ref="D61:G61"/>
    <mergeCell ref="D2:G2"/>
    <mergeCell ref="D24:D25"/>
    <mergeCell ref="E24:E25"/>
    <mergeCell ref="F24:F25"/>
    <mergeCell ref="G24:G25"/>
    <mergeCell ref="I24:I25"/>
    <mergeCell ref="D37:D38"/>
    <mergeCell ref="E37:E38"/>
    <mergeCell ref="F37:F38"/>
    <mergeCell ref="G37:G38"/>
    <mergeCell ref="H37:H38"/>
    <mergeCell ref="I37:I38"/>
    <mergeCell ref="H24:H25"/>
    <mergeCell ref="D49:G49"/>
    <mergeCell ref="C66:C77"/>
    <mergeCell ref="C78:C89"/>
    <mergeCell ref="C90:D90"/>
  </mergeCells>
  <hyperlinks>
    <hyperlink ref="E97" r:id="rId1" xr:uid="{6F2035AF-5CAE-415A-A2CE-EA20BC1BBDBB}"/>
    <hyperlink ref="E96" r:id="rId2" xr:uid="{81F14529-C13C-4B7B-B1B1-4DB56A61C7DE}"/>
    <hyperlink ref="E57" r:id="rId3" xr:uid="{B62B8B3F-EF23-4ECF-B6CB-C8A9D17035D6}"/>
    <hyperlink ref="K26" r:id="rId4" xr:uid="{D2B087D7-CE82-4E47-BA79-8AD68E4F2DF4}"/>
  </hyperlinks>
  <pageMargins left="0.7" right="0.7" top="0.75" bottom="0.75" header="0.3" footer="0.3"/>
  <pageSetup paperSize="9" orientation="portrait" horizontalDpi="0" verticalDpi="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CECIBEL DE LA GUERRA BELTRAN</dc:creator>
  <cp:lastModifiedBy>Leandro Correa</cp:lastModifiedBy>
  <dcterms:created xsi:type="dcterms:W3CDTF">2026-02-22T23:21:45Z</dcterms:created>
  <dcterms:modified xsi:type="dcterms:W3CDTF">2026-02-23T03:48:50Z</dcterms:modified>
</cp:coreProperties>
</file>