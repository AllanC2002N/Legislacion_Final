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\OneDrive\Desktop\"/>
    </mc:Choice>
  </mc:AlternateContent>
  <xr:revisionPtr revIDLastSave="0" documentId="13_ncr:1_{DED1F583-1129-4A4D-A3BF-FD54BC06BC36}" xr6:coauthVersionLast="47" xr6:coauthVersionMax="47" xr10:uidLastSave="{00000000-0000-0000-0000-000000000000}"/>
  <bookViews>
    <workbookView xWindow="-120" yWindow="-120" windowWidth="29040" windowHeight="15720" xr2:uid="{9EACAD42-BA7F-49AA-A0F9-421173A3E346}"/>
  </bookViews>
  <sheets>
    <sheet name="Tut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2" l="1"/>
  <c r="C61" i="2"/>
  <c r="E60" i="2"/>
  <c r="E59" i="2"/>
  <c r="E58" i="2"/>
  <c r="E61" i="2" l="1"/>
  <c r="D62" i="2" s="1"/>
  <c r="C62" i="2" l="1"/>
  <c r="E62" i="2"/>
  <c r="J54" i="2"/>
  <c r="D31" i="2" l="1"/>
  <c r="D32" i="2"/>
  <c r="D33" i="2"/>
  <c r="D34" i="2"/>
  <c r="D35" i="2"/>
  <c r="D30" i="2"/>
  <c r="D36" i="2" l="1"/>
  <c r="C34" i="2" s="1"/>
  <c r="C31" i="2" l="1"/>
  <c r="C32" i="2"/>
  <c r="C33" i="2"/>
  <c r="C35" i="2"/>
  <c r="C30" i="2"/>
  <c r="C36" i="2" l="1"/>
</calcChain>
</file>

<file path=xl/sharedStrings.xml><?xml version="1.0" encoding="utf-8"?>
<sst xmlns="http://schemas.openxmlformats.org/spreadsheetml/2006/main" count="63" uniqueCount="40">
  <si>
    <t>Empresas de Retail Alimentario</t>
  </si>
  <si>
    <t xml:space="preserve">UTILIDAD NETA DEL PERIODO </t>
  </si>
  <si>
    <t>Corporacion Favorita C.A</t>
  </si>
  <si>
    <t>Corporacion El Rosado</t>
  </si>
  <si>
    <t>Tiendas Industriales Asociadas TIA S.A</t>
  </si>
  <si>
    <t>Gerardo Ortiz e Hijos C LTDA</t>
  </si>
  <si>
    <t>Tiendas Tuti TTDE S.A.</t>
  </si>
  <si>
    <t>Mega Santamaria S.A</t>
  </si>
  <si>
    <t>En general, las empresas suelen registrar pérdidas en sus primeros años de operación debido a que se encuentran en una fase de inversión, posicionamiento y expansión, donde los costos fijos y las inversiones iniciales superan a los ingresos generados. Este fenómeno es especialmente común en el sector retail, donde la apertura de locales, la logística y el capital de trabajo requieren altos desembolsos iniciales. En el caso de Tiendas Tuti, las pérdidas durante sus primeros cinco años responden a una estrategia de crecimiento acelerado y precios bajos, que priorizó ganar mercado antes que rentabilidad. A medida que las tiendas alcanzaron su madurez y se consolidaron las economías de escala, los costos comenzaron a diluirse. Por ello, en el sexto año la empresa logra revertir las pérdidas y generar utilidad, evidenciando la consolidación de su modelo de negocio.</t>
  </si>
  <si>
    <t>INGRESOS OPERACIONALES</t>
  </si>
  <si>
    <t>Corporacion El Rosado S.A</t>
  </si>
  <si>
    <t>Participacion en el Mercado</t>
  </si>
  <si>
    <t xml:space="preserve">Total </t>
  </si>
  <si>
    <t>Promedio Ingresos Operacionales</t>
  </si>
  <si>
    <t>Costo Comision de Tarjetas Total</t>
  </si>
  <si>
    <t>Utilidad Neta 2024</t>
  </si>
  <si>
    <t>Impacto del Costo en la Utilidad Neta</t>
  </si>
  <si>
    <t>Transacciones Efectivas</t>
  </si>
  <si>
    <t>Transacciones Digitales</t>
  </si>
  <si>
    <t>Pagos Dig  T. Cred</t>
  </si>
  <si>
    <t>Pagos Dig  T. Deb</t>
  </si>
  <si>
    <t>Costo Comision T.C</t>
  </si>
  <si>
    <t>Costo Comision T.D</t>
  </si>
  <si>
    <t>Valor de Facturacion (MM)</t>
  </si>
  <si>
    <t>Total Consumo Medios Digitales</t>
  </si>
  <si>
    <t>Tarjeta de Credito</t>
  </si>
  <si>
    <t xml:space="preserve">Tarjeta de Debito </t>
  </si>
  <si>
    <t>%4,02 y 2 %</t>
  </si>
  <si>
    <t>https://www.superbancos.gob.ec/bancos/pronunciamiento-de-la-sb-frente-a-pagos-realizados-con-tarjeta-de-credito-o-debito/</t>
  </si>
  <si>
    <t xml:space="preserve">porcentajes tc y td </t>
  </si>
  <si>
    <t>https://contenido.bce.fin.ec/documentos/Administracion/snp-estadistica-10.pdf</t>
  </si>
  <si>
    <t>Años</t>
  </si>
  <si>
    <t>Total</t>
  </si>
  <si>
    <t>Porcentaje de Participación</t>
  </si>
  <si>
    <t xml:space="preserve">Fuentes </t>
  </si>
  <si>
    <t>pag 32 y 33</t>
  </si>
  <si>
    <t>Ingresos  2024</t>
  </si>
  <si>
    <t>22,49% CS</t>
  </si>
  <si>
    <t>Tabla arriba</t>
  </si>
  <si>
    <t>Tabla Arriba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</si>
</sst>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164" fontId="0" fillId="0" borderId="0" xfId="0" applyNumberFormat="1"/>
    <xf numFmtId="164" fontId="0" fillId="0" borderId="1" xfId="1" applyNumberFormat="1" applyFont="1" applyBorder="1"/>
    <xf numFmtId="10" fontId="0" fillId="0" borderId="1" xfId="2" applyNumberFormat="1" applyFont="1" applyBorder="1" applyAlignment="1">
      <alignment horizontal="center"/>
    </xf>
    <xf numFmtId="43" fontId="0" fillId="0" borderId="0" xfId="1" applyFont="1"/>
    <xf numFmtId="164" fontId="0" fillId="0" borderId="0" xfId="1" applyNumberFormat="1" applyFont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0" fontId="2" fillId="2" borderId="1" xfId="2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43" fontId="0" fillId="0" borderId="1" xfId="0" applyNumberFormat="1" applyBorder="1"/>
    <xf numFmtId="43" fontId="0" fillId="0" borderId="1" xfId="0" applyNumberFormat="1" applyBorder="1" applyAlignment="1">
      <alignment horizontal="center" vertical="center"/>
    </xf>
    <xf numFmtId="43" fontId="2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43" fontId="0" fillId="0" borderId="1" xfId="1" applyFon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0" fontId="3" fillId="0" borderId="0" xfId="3"/>
    <xf numFmtId="0" fontId="0" fillId="0" borderId="1" xfId="0" applyBorder="1" applyAlignment="1">
      <alignment horizontal="center"/>
    </xf>
    <xf numFmtId="10" fontId="2" fillId="3" borderId="1" xfId="2" applyNumberFormat="1" applyFont="1" applyFill="1" applyBorder="1" applyAlignment="1">
      <alignment horizontal="center"/>
    </xf>
    <xf numFmtId="0" fontId="2" fillId="4" borderId="1" xfId="0" applyFont="1" applyFill="1" applyBorder="1"/>
    <xf numFmtId="43" fontId="0" fillId="5" borderId="1" xfId="0" applyNumberFormat="1" applyFill="1" applyBorder="1"/>
    <xf numFmtId="0" fontId="0" fillId="6" borderId="1" xfId="0" applyFill="1" applyBorder="1" applyAlignment="1">
      <alignment horizontal="center"/>
    </xf>
    <xf numFmtId="43" fontId="0" fillId="6" borderId="1" xfId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43" fontId="0" fillId="7" borderId="1" xfId="0" applyNumberFormat="1" applyFill="1" applyBorder="1" applyAlignment="1">
      <alignment horizontal="center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>
                <a:solidFill>
                  <a:sysClr val="windowText" lastClr="000000"/>
                </a:solidFill>
              </a:rPr>
              <a:t>Diagrama de Dispersion</a:t>
            </a:r>
            <a:r>
              <a:rPr lang="es-EC" baseline="0">
                <a:solidFill>
                  <a:sysClr val="windowText" lastClr="000000"/>
                </a:solidFill>
              </a:rPr>
              <a:t> de los Ingresos Operacionales</a:t>
            </a:r>
            <a:endParaRPr lang="es-EC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16554064324049045"/>
          <c:y val="0.12567554443759058"/>
          <c:w val="0.55397153836783064"/>
          <c:h val="0.75605677965225349"/>
        </c:manualLayout>
      </c:layout>
      <c:scatterChart>
        <c:scatterStyle val="lineMarker"/>
        <c:varyColors val="0"/>
        <c:ser>
          <c:idx val="0"/>
          <c:order val="0"/>
          <c:tx>
            <c:strRef>
              <c:f>Tuti!$B$20</c:f>
              <c:strCache>
                <c:ptCount val="1"/>
                <c:pt idx="0">
                  <c:v>Corporacion Favorita C.A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Tuti!$C$20:$E$20</c:f>
              <c:numCache>
                <c:formatCode>"$"#,##0.00</c:formatCode>
                <c:ptCount val="3"/>
                <c:pt idx="0">
                  <c:v>2355580171.1300001</c:v>
                </c:pt>
                <c:pt idx="1">
                  <c:v>2483015099.25</c:v>
                </c:pt>
                <c:pt idx="2">
                  <c:v>2546101459.75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07-48E3-BDF8-A46CA7756782}"/>
            </c:ext>
          </c:extLst>
        </c:ser>
        <c:ser>
          <c:idx val="1"/>
          <c:order val="1"/>
          <c:tx>
            <c:strRef>
              <c:f>Tuti!$B$21</c:f>
              <c:strCache>
                <c:ptCount val="1"/>
                <c:pt idx="0">
                  <c:v>Corporacion El Rosado S.A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Tuti!$C$21:$E$21</c:f>
              <c:numCache>
                <c:formatCode>"$"#,##0.00</c:formatCode>
                <c:ptCount val="3"/>
                <c:pt idx="0">
                  <c:v>1431995151.99</c:v>
                </c:pt>
                <c:pt idx="1">
                  <c:v>1567038006.29</c:v>
                </c:pt>
                <c:pt idx="2">
                  <c:v>1570185672.02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07-48E3-BDF8-A46CA7756782}"/>
            </c:ext>
          </c:extLst>
        </c:ser>
        <c:ser>
          <c:idx val="2"/>
          <c:order val="2"/>
          <c:tx>
            <c:strRef>
              <c:f>Tuti!$B$22</c:f>
              <c:strCache>
                <c:ptCount val="1"/>
                <c:pt idx="0">
                  <c:v>Tiendas Industriales Asociadas TIA S.A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Tuti!$C$22:$E$22</c:f>
              <c:numCache>
                <c:formatCode>"$"#,##0.00</c:formatCode>
                <c:ptCount val="3"/>
                <c:pt idx="0">
                  <c:v>776159786.91999996</c:v>
                </c:pt>
                <c:pt idx="1">
                  <c:v>787980599</c:v>
                </c:pt>
                <c:pt idx="2">
                  <c:v>754405497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07-48E3-BDF8-A46CA7756782}"/>
            </c:ext>
          </c:extLst>
        </c:ser>
        <c:ser>
          <c:idx val="3"/>
          <c:order val="3"/>
          <c:tx>
            <c:strRef>
              <c:f>Tuti!$B$23</c:f>
              <c:strCache>
                <c:ptCount val="1"/>
                <c:pt idx="0">
                  <c:v>Gerardo Ortiz e Hijos C LTDA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Tuti!$C$23:$E$23</c:f>
              <c:numCache>
                <c:formatCode>"$"#,##0.00</c:formatCode>
                <c:ptCount val="3"/>
                <c:pt idx="0">
                  <c:v>472127549.25999999</c:v>
                </c:pt>
                <c:pt idx="1">
                  <c:v>505779781.13999999</c:v>
                </c:pt>
                <c:pt idx="2">
                  <c:v>527892328.87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07-48E3-BDF8-A46CA7756782}"/>
            </c:ext>
          </c:extLst>
        </c:ser>
        <c:ser>
          <c:idx val="4"/>
          <c:order val="4"/>
          <c:tx>
            <c:strRef>
              <c:f>Tuti!$B$24</c:f>
              <c:strCache>
                <c:ptCount val="1"/>
                <c:pt idx="0">
                  <c:v>Tiendas Tuti TTDE S.A.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Tuti!$C$24:$E$24</c:f>
              <c:numCache>
                <c:formatCode>"$"#,##0.00</c:formatCode>
                <c:ptCount val="3"/>
                <c:pt idx="0">
                  <c:v>240094053.15000001</c:v>
                </c:pt>
                <c:pt idx="1">
                  <c:v>446665993.97000003</c:v>
                </c:pt>
                <c:pt idx="2">
                  <c:v>693240837.34000003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07-48E3-BDF8-A46CA7756782}"/>
            </c:ext>
          </c:extLst>
        </c:ser>
        <c:ser>
          <c:idx val="5"/>
          <c:order val="5"/>
          <c:tx>
            <c:strRef>
              <c:f>Tuti!$B$25</c:f>
              <c:strCache>
                <c:ptCount val="1"/>
                <c:pt idx="0">
                  <c:v>Mega Santamaria S.A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Tuti!$C$25:$E$25</c:f>
              <c:numCache>
                <c:formatCode>"$"#,##0.00</c:formatCode>
                <c:ptCount val="3"/>
                <c:pt idx="0">
                  <c:v>293503606.5</c:v>
                </c:pt>
                <c:pt idx="1">
                  <c:v>282256705.61000001</c:v>
                </c:pt>
                <c:pt idx="2">
                  <c:v>237964565.18000001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07-48E3-BDF8-A46CA7756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955295"/>
        <c:axId val="1613956127"/>
      </c:scatterChart>
      <c:valAx>
        <c:axId val="1613955295"/>
        <c:scaling>
          <c:orientation val="minMax"/>
          <c:max val="3"/>
          <c:min val="1"/>
        </c:scaling>
        <c:delete val="1"/>
        <c:axPos val="b"/>
        <c:numFmt formatCode="General" sourceLinked="1"/>
        <c:majorTickMark val="none"/>
        <c:minorTickMark val="none"/>
        <c:tickLblPos val="nextTo"/>
        <c:crossAx val="1613956127"/>
        <c:crosses val="autoZero"/>
        <c:crossBetween val="midCat"/>
      </c:valAx>
      <c:valAx>
        <c:axId val="16139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13955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430032005492972"/>
          <c:y val="0.16941864758778341"/>
          <c:w val="0.27910136549387021"/>
          <c:h val="0.708571408874851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>
                <a:solidFill>
                  <a:sysClr val="windowText" lastClr="000000"/>
                </a:solidFill>
              </a:rPr>
              <a:t>Participación</a:t>
            </a:r>
            <a:r>
              <a:rPr lang="es-EC" baseline="0">
                <a:solidFill>
                  <a:sysClr val="windowText" lastClr="000000"/>
                </a:solidFill>
              </a:rPr>
              <a:t> en el 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s-EC" baseline="0">
                <a:solidFill>
                  <a:sysClr val="windowText" lastClr="000000"/>
                </a:solidFill>
              </a:rPr>
              <a:t>mercado 2024 </a:t>
            </a:r>
            <a:endParaRPr lang="es-EC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65593424597614081"/>
          <c:y val="6.7948202789306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5.2660630939591897E-2"/>
          <c:y val="5.8194927906915224E-2"/>
          <c:w val="0.47630318779557795"/>
          <c:h val="0.9040561110069134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070-4D92-A505-7000793865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070-4D92-A505-7000793865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070-4D92-A505-7000793865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070-4D92-A505-7000793865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070-4D92-A505-7000793865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070-4D92-A505-700079386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Tuti!$B$20:$B$25</c:f>
              <c:strCache>
                <c:ptCount val="6"/>
                <c:pt idx="0">
                  <c:v>Corporacion Favorita C.A</c:v>
                </c:pt>
                <c:pt idx="1">
                  <c:v>Corporacion El Rosado S.A</c:v>
                </c:pt>
                <c:pt idx="2">
                  <c:v>Tiendas Industriales Asociadas TIA S.A</c:v>
                </c:pt>
                <c:pt idx="3">
                  <c:v>Gerardo Ortiz e Hijos C LTDA</c:v>
                </c:pt>
                <c:pt idx="4">
                  <c:v>Tiendas Tuti TTDE S.A.</c:v>
                </c:pt>
                <c:pt idx="5">
                  <c:v>Mega Santamaria S.A</c:v>
                </c:pt>
              </c:strCache>
            </c:strRef>
          </c:cat>
          <c:val>
            <c:numRef>
              <c:f>Tuti!$E$20:$E$25</c:f>
              <c:numCache>
                <c:formatCode>"$"#,##0.00</c:formatCode>
                <c:ptCount val="6"/>
                <c:pt idx="0">
                  <c:v>2546101459.75</c:v>
                </c:pt>
                <c:pt idx="1">
                  <c:v>1570185672.02</c:v>
                </c:pt>
                <c:pt idx="2">
                  <c:v>754405497</c:v>
                </c:pt>
                <c:pt idx="3">
                  <c:v>527892328.87</c:v>
                </c:pt>
                <c:pt idx="4">
                  <c:v>693240837.34000003</c:v>
                </c:pt>
                <c:pt idx="5">
                  <c:v>237964565.18000001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070-4D92-A505-7000793865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8490142322852712"/>
          <c:y val="0.30576658479798807"/>
          <c:w val="0.37821004367339023"/>
          <c:h val="0.574728824244701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942975</xdr:colOff>
      <xdr:row>16</xdr:row>
      <xdr:rowOff>152400</xdr:rowOff>
    </xdr:from>
    <xdr:to>
      <xdr:col>13</xdr:col>
      <xdr:colOff>384008</xdr:colOff>
      <xdr:row>29</xdr:row>
      <xdr:rowOff>42109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B7E9C35-5DDC-4D2A-A3EA-00B2AC04A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29</xdr:row>
      <xdr:rowOff>190499</xdr:rowOff>
    </xdr:from>
    <xdr:to>
      <xdr:col>10</xdr:col>
      <xdr:colOff>175461</xdr:colOff>
      <xdr:row>42</xdr:row>
      <xdr:rowOff>180472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C7342D-D049-4623-A22A-DF61D526D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0.14346</cdr:x>
      <cdr:y>0.89877</cdr:y>
    </cdr:from>
    <cdr:to>
      <cdr:x>0.19072</cdr:x>
      <cdr:y>0.9699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DB7A685-F026-4CC6-B80C-675DD9CCA323}"/>
            </a:ext>
          </a:extLst>
        </cdr:cNvPr>
        <cdr:cNvSpPr txBox="1"/>
      </cdr:nvSpPr>
      <cdr:spPr>
        <a:xfrm xmlns:a="http://schemas.openxmlformats.org/drawingml/2006/main">
          <a:off x="1619251" y="3128964"/>
          <a:ext cx="533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C" sz="1100">
              <a:solidFill>
                <a:sysClr val="windowText" lastClr="000000"/>
              </a:solidFill>
            </a:rPr>
            <a:t>2022</a:t>
          </a:r>
        </a:p>
      </cdr:txBody>
    </cdr:sp>
  </cdr:relSizeAnchor>
  <cdr:relSizeAnchor xmlns:cdr="http://schemas.openxmlformats.org/drawingml/2006/chartDrawing">
    <cdr:from>
      <cdr:x>0.41969</cdr:x>
      <cdr:y>0.89831</cdr:y>
    </cdr:from>
    <cdr:to>
      <cdr:x>0.46695</cdr:x>
      <cdr:y>0.96945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E779A89E-94B7-45E6-B9F5-8AFDD1D3ABF1}"/>
            </a:ext>
          </a:extLst>
        </cdr:cNvPr>
        <cdr:cNvSpPr txBox="1"/>
      </cdr:nvSpPr>
      <cdr:spPr>
        <a:xfrm xmlns:a="http://schemas.openxmlformats.org/drawingml/2006/main">
          <a:off x="4737100" y="3127375"/>
          <a:ext cx="533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C" sz="1100">
              <a:solidFill>
                <a:sysClr val="windowText" lastClr="000000"/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0.69733</cdr:x>
      <cdr:y>0.89284</cdr:y>
    </cdr:from>
    <cdr:to>
      <cdr:x>0.74459</cdr:x>
      <cdr:y>0.96398</cdr:y>
    </cdr:to>
    <cdr:sp macro="" textlink="">
      <cdr:nvSpPr>
        <cdr:cNvPr id="4" name="CuadroTexto 1">
          <a:extLst xmlns:a="http://schemas.openxmlformats.org/drawingml/2006/main">
            <a:ext uri="{FF2B5EF4-FFF2-40B4-BE49-F238E27FC236}">
              <a16:creationId xmlns:a16="http://schemas.microsoft.com/office/drawing/2014/main" id="{E8B5F896-A8A6-458F-835A-B2A18C89DB0C}"/>
            </a:ext>
          </a:extLst>
        </cdr:cNvPr>
        <cdr:cNvSpPr txBox="1"/>
      </cdr:nvSpPr>
      <cdr:spPr>
        <a:xfrm xmlns:a="http://schemas.openxmlformats.org/drawingml/2006/main">
          <a:off x="7870825" y="3108325"/>
          <a:ext cx="533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C" sz="1100">
              <a:solidFill>
                <a:sysClr val="windowText" lastClr="000000"/>
              </a:solidFill>
            </a:rPr>
            <a:t>2024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perbancos.gob.ec/bancos/pronunciamiento-de-la-sb-frente-a-pagos-realizados-con-tarjeta-de-credito-o-debito/" TargetMode="External"/><Relationship Id="rId2" Type="http://schemas.openxmlformats.org/officeDocument/2006/relationships/hyperlink" Target="https://contenido.bce.fin.ec/documentos/Administracion/snp-estadistica-10.pdf" TargetMode="External"/><Relationship Id="rId1" Type="http://schemas.openxmlformats.org/officeDocument/2006/relationships/hyperlink" Target="https://www.superbancos.gob.ec/bancos/pronunciamiento-de-la-sb-frente-a-pagos-realizados-con-tarjeta-de-credito-o-debito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contenido.bce.fin.ec/documentos/Administracion/snp-estadistica-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C35B-1F0C-471B-91AD-D30A8BDFBB4A}">
  <dimension ref="B2:L73"/>
  <sheetViews>
    <sheetView tabSelected="1" topLeftCell="A19" zoomScaleNormal="100" workbookViewId="0">
      <selection activeCell="F71" sqref="F71"/>
    </sheetView>
  </sheetViews>
  <sheetFormatPr baseColWidth="10" defaultRowHeight="15" x14ac:dyDescent="0.25"/>
  <cols>
    <col min="2" max="2" width="35" bestFit="1" customWidth="1"/>
    <col min="3" max="3" width="17.5703125" customWidth="1"/>
    <col min="4" max="4" width="23.42578125" customWidth="1"/>
    <col min="5" max="5" width="22.140625" customWidth="1"/>
    <col min="6" max="6" width="19.140625" customWidth="1"/>
    <col min="7" max="7" width="19.85546875" customWidth="1"/>
    <col min="8" max="8" width="18.42578125" customWidth="1"/>
    <col min="9" max="9" width="18.7109375" customWidth="1"/>
    <col min="10" max="10" width="16" customWidth="1"/>
    <col min="11" max="11" width="16.85546875" customWidth="1"/>
    <col min="12" max="12" width="17.7109375" customWidth="1"/>
  </cols>
  <sheetData>
    <row r="2" spans="2:8" x14ac:dyDescent="0.25">
      <c r="B2" s="35" t="s">
        <v>0</v>
      </c>
      <c r="C2" s="34" t="s">
        <v>1</v>
      </c>
      <c r="D2" s="34"/>
      <c r="E2" s="34"/>
      <c r="F2" s="34"/>
      <c r="G2" s="34"/>
      <c r="H2" s="34"/>
    </row>
    <row r="3" spans="2:8" x14ac:dyDescent="0.25">
      <c r="B3" s="35"/>
      <c r="C3" s="2">
        <v>2019</v>
      </c>
      <c r="D3" s="2">
        <v>2020</v>
      </c>
      <c r="E3" s="2">
        <v>2021</v>
      </c>
      <c r="F3" s="2">
        <v>2022</v>
      </c>
      <c r="G3" s="2">
        <v>2023</v>
      </c>
      <c r="H3" s="2">
        <v>2024</v>
      </c>
    </row>
    <row r="4" spans="2:8" x14ac:dyDescent="0.25">
      <c r="B4" s="1" t="s">
        <v>2</v>
      </c>
      <c r="C4" s="4">
        <v>146948162.24000001</v>
      </c>
      <c r="D4" s="4">
        <v>147499234.25</v>
      </c>
      <c r="E4" s="4">
        <v>143823630.31999999</v>
      </c>
      <c r="F4" s="4">
        <v>155767666.19</v>
      </c>
      <c r="G4" s="4">
        <v>165187931.58000001</v>
      </c>
      <c r="H4" s="4">
        <v>169565587.88000101</v>
      </c>
    </row>
    <row r="5" spans="2:8" x14ac:dyDescent="0.25">
      <c r="B5" s="1" t="s">
        <v>3</v>
      </c>
      <c r="C5" s="4">
        <v>28656111.27</v>
      </c>
      <c r="D5" s="4">
        <v>27622934.68</v>
      </c>
      <c r="E5" s="4">
        <v>25507431.129999999</v>
      </c>
      <c r="F5" s="4">
        <v>34172869.600000001</v>
      </c>
      <c r="G5" s="4">
        <v>38196833.170000002</v>
      </c>
      <c r="H5" s="4">
        <v>14646069.77</v>
      </c>
    </row>
    <row r="6" spans="2:8" x14ac:dyDescent="0.25">
      <c r="B6" s="1" t="s">
        <v>4</v>
      </c>
      <c r="C6" s="4">
        <v>28975054.280000001</v>
      </c>
      <c r="D6" s="4">
        <v>28489595.550000001</v>
      </c>
      <c r="E6" s="4">
        <v>22699894.739999998</v>
      </c>
      <c r="F6" s="4">
        <v>30230705</v>
      </c>
      <c r="G6" s="4">
        <v>20086074</v>
      </c>
      <c r="H6" s="4">
        <v>6642977</v>
      </c>
    </row>
    <row r="7" spans="2:8" x14ac:dyDescent="0.25">
      <c r="B7" s="1" t="s">
        <v>5</v>
      </c>
      <c r="C7" s="4">
        <v>12727412</v>
      </c>
      <c r="D7" s="4">
        <v>18171357</v>
      </c>
      <c r="E7" s="4">
        <v>23441765.329999998</v>
      </c>
      <c r="F7" s="4">
        <v>24095565.719999999</v>
      </c>
      <c r="G7" s="4">
        <v>20645569.489999998</v>
      </c>
      <c r="H7" s="4">
        <v>35348055.060000002</v>
      </c>
    </row>
    <row r="8" spans="2:8" x14ac:dyDescent="0.25">
      <c r="B8" s="1" t="s">
        <v>6</v>
      </c>
      <c r="C8" s="4">
        <v>-3531909.25</v>
      </c>
      <c r="D8" s="4">
        <v>-5905384.0300000003</v>
      </c>
      <c r="E8" s="4">
        <v>-6773706.0700000003</v>
      </c>
      <c r="F8" s="4">
        <v>-6749267.1699999999</v>
      </c>
      <c r="G8" s="4">
        <v>-6051477.1799999997</v>
      </c>
      <c r="H8" s="4">
        <v>632855.98</v>
      </c>
    </row>
    <row r="9" spans="2:8" x14ac:dyDescent="0.25">
      <c r="B9" s="1" t="s">
        <v>7</v>
      </c>
      <c r="C9" s="4">
        <v>477228</v>
      </c>
      <c r="D9" s="4">
        <v>5639201</v>
      </c>
      <c r="E9" s="4">
        <v>5318398</v>
      </c>
      <c r="F9" s="4">
        <v>6856480.6399999997</v>
      </c>
      <c r="G9" s="4">
        <v>5398336.1500000004</v>
      </c>
      <c r="H9" s="4">
        <v>2823643.67</v>
      </c>
    </row>
    <row r="10" spans="2:8" x14ac:dyDescent="0.25">
      <c r="H10" s="3"/>
    </row>
    <row r="11" spans="2:8" x14ac:dyDescent="0.25">
      <c r="B11" s="12" t="s">
        <v>8</v>
      </c>
      <c r="C11" s="12"/>
      <c r="D11" s="12"/>
      <c r="E11" s="12"/>
      <c r="F11" s="12"/>
      <c r="G11" s="12"/>
      <c r="H11" s="12"/>
    </row>
    <row r="12" spans="2:8" x14ac:dyDescent="0.25">
      <c r="B12" s="12"/>
      <c r="C12" s="12"/>
      <c r="D12" s="12"/>
      <c r="E12" s="12"/>
      <c r="F12" s="12"/>
      <c r="G12" s="12"/>
      <c r="H12" s="12"/>
    </row>
    <row r="13" spans="2:8" x14ac:dyDescent="0.25">
      <c r="B13" s="12"/>
      <c r="C13" s="12"/>
      <c r="D13" s="12"/>
      <c r="E13" s="12"/>
      <c r="F13" s="12"/>
      <c r="G13" s="12"/>
      <c r="H13" s="12"/>
    </row>
    <row r="14" spans="2:8" x14ac:dyDescent="0.25">
      <c r="B14" s="12"/>
      <c r="C14" s="12"/>
      <c r="D14" s="12"/>
      <c r="E14" s="12"/>
      <c r="F14" s="12"/>
      <c r="G14" s="12"/>
      <c r="H14" s="12"/>
    </row>
    <row r="15" spans="2:8" x14ac:dyDescent="0.25">
      <c r="B15" s="12"/>
      <c r="C15" s="12"/>
      <c r="D15" s="12"/>
      <c r="E15" s="12"/>
      <c r="F15" s="12"/>
      <c r="G15" s="12"/>
      <c r="H15" s="12"/>
    </row>
    <row r="16" spans="2:8" x14ac:dyDescent="0.25">
      <c r="B16" s="12"/>
      <c r="C16" s="12"/>
      <c r="D16" s="12"/>
      <c r="E16" s="12"/>
      <c r="F16" s="12"/>
      <c r="G16" s="12"/>
      <c r="H16" s="12"/>
    </row>
    <row r="18" spans="2:6" x14ac:dyDescent="0.25">
      <c r="B18" s="40" t="s">
        <v>0</v>
      </c>
      <c r="C18" s="37" t="s">
        <v>9</v>
      </c>
      <c r="D18" s="38"/>
      <c r="E18" s="39"/>
    </row>
    <row r="19" spans="2:6" x14ac:dyDescent="0.25">
      <c r="B19" s="40"/>
      <c r="C19" s="2">
        <v>2022</v>
      </c>
      <c r="D19" s="2">
        <v>2023</v>
      </c>
      <c r="E19" s="2">
        <v>2024</v>
      </c>
    </row>
    <row r="20" spans="2:6" x14ac:dyDescent="0.25">
      <c r="B20" s="1" t="s">
        <v>2</v>
      </c>
      <c r="C20" s="4">
        <v>2355580171.1300001</v>
      </c>
      <c r="D20" s="4">
        <v>2483015099.25</v>
      </c>
      <c r="E20" s="4">
        <v>2546101459.75</v>
      </c>
    </row>
    <row r="21" spans="2:6" x14ac:dyDescent="0.25">
      <c r="B21" s="1" t="s">
        <v>10</v>
      </c>
      <c r="C21" s="4">
        <v>1431995151.99</v>
      </c>
      <c r="D21" s="4">
        <v>1567038006.29</v>
      </c>
      <c r="E21" s="4">
        <v>1570185672.02</v>
      </c>
    </row>
    <row r="22" spans="2:6" x14ac:dyDescent="0.25">
      <c r="B22" s="1" t="s">
        <v>4</v>
      </c>
      <c r="C22" s="4">
        <v>776159786.91999996</v>
      </c>
      <c r="D22" s="4">
        <v>787980599</v>
      </c>
      <c r="E22" s="4">
        <v>754405497</v>
      </c>
    </row>
    <row r="23" spans="2:6" x14ac:dyDescent="0.25">
      <c r="B23" s="1" t="s">
        <v>5</v>
      </c>
      <c r="C23" s="4">
        <v>472127549.25999999</v>
      </c>
      <c r="D23" s="4">
        <v>505779781.13999999</v>
      </c>
      <c r="E23" s="4">
        <v>527892328.87</v>
      </c>
    </row>
    <row r="24" spans="2:6" x14ac:dyDescent="0.25">
      <c r="B24" s="1" t="s">
        <v>6</v>
      </c>
      <c r="C24" s="4">
        <v>240094053.15000001</v>
      </c>
      <c r="D24" s="4">
        <v>446665993.97000003</v>
      </c>
      <c r="E24" s="4">
        <v>693240837.34000003</v>
      </c>
    </row>
    <row r="25" spans="2:6" x14ac:dyDescent="0.25">
      <c r="B25" s="1" t="s">
        <v>7</v>
      </c>
      <c r="C25" s="4">
        <v>293503606.5</v>
      </c>
      <c r="D25" s="4">
        <v>282256705.61000001</v>
      </c>
      <c r="E25" s="4">
        <v>237964565.18000001</v>
      </c>
    </row>
    <row r="26" spans="2:6" x14ac:dyDescent="0.25">
      <c r="C26" s="7"/>
      <c r="D26" s="7"/>
      <c r="E26" s="7"/>
      <c r="F26" s="3"/>
    </row>
    <row r="27" spans="2:6" x14ac:dyDescent="0.25">
      <c r="C27" s="7"/>
      <c r="D27" s="7"/>
      <c r="E27" s="7"/>
      <c r="F27" s="3"/>
    </row>
    <row r="28" spans="2:6" x14ac:dyDescent="0.25">
      <c r="B28" s="9" t="s">
        <v>0</v>
      </c>
      <c r="C28" s="11" t="s">
        <v>11</v>
      </c>
      <c r="D28" s="10" t="s">
        <v>13</v>
      </c>
      <c r="E28" s="7"/>
      <c r="F28" s="3"/>
    </row>
    <row r="29" spans="2:6" x14ac:dyDescent="0.25">
      <c r="B29" s="9"/>
      <c r="C29" s="11"/>
      <c r="D29" s="10"/>
      <c r="E29" s="7"/>
      <c r="F29" s="3"/>
    </row>
    <row r="30" spans="2:6" x14ac:dyDescent="0.25">
      <c r="B30" s="1" t="s">
        <v>2</v>
      </c>
      <c r="C30" s="5">
        <f>D30/$D$36</f>
        <v>0.41090040772121755</v>
      </c>
      <c r="D30" s="8">
        <f t="shared" ref="D30:D35" si="0">AVERAGE(C20:E20)</f>
        <v>2461565576.71</v>
      </c>
      <c r="E30" s="7"/>
      <c r="F30" s="3"/>
    </row>
    <row r="31" spans="2:6" x14ac:dyDescent="0.25">
      <c r="B31" s="1" t="s">
        <v>10</v>
      </c>
      <c r="C31" s="5">
        <f t="shared" ref="C31:C35" si="1">D31/$D$36</f>
        <v>0.25424116235910521</v>
      </c>
      <c r="D31" s="8">
        <f t="shared" si="0"/>
        <v>1523072943.4333332</v>
      </c>
      <c r="E31" s="7"/>
      <c r="F31" s="3"/>
    </row>
    <row r="32" spans="2:6" x14ac:dyDescent="0.25">
      <c r="B32" s="1" t="s">
        <v>4</v>
      </c>
      <c r="C32" s="5">
        <f t="shared" si="1"/>
        <v>0.1290088792306312</v>
      </c>
      <c r="D32" s="8">
        <f t="shared" si="0"/>
        <v>772848627.63999999</v>
      </c>
      <c r="E32" s="7"/>
      <c r="F32" s="3"/>
    </row>
    <row r="33" spans="2:12" x14ac:dyDescent="0.25">
      <c r="B33" s="1" t="s">
        <v>5</v>
      </c>
      <c r="C33" s="5">
        <f t="shared" si="1"/>
        <v>8.3785931440629555E-2</v>
      </c>
      <c r="D33" s="8">
        <f t="shared" si="0"/>
        <v>501933219.75666666</v>
      </c>
      <c r="E33" s="7"/>
      <c r="F33" s="3"/>
    </row>
    <row r="34" spans="2:12" x14ac:dyDescent="0.25">
      <c r="B34" s="1" t="s">
        <v>6</v>
      </c>
      <c r="C34" s="5">
        <f t="shared" si="1"/>
        <v>7.6786217065175619E-2</v>
      </c>
      <c r="D34" s="8">
        <f t="shared" si="0"/>
        <v>460000294.81999999</v>
      </c>
      <c r="E34" s="7"/>
      <c r="F34" s="3"/>
    </row>
    <row r="35" spans="2:12" x14ac:dyDescent="0.25">
      <c r="B35" s="1" t="s">
        <v>7</v>
      </c>
      <c r="C35" s="5">
        <f t="shared" si="1"/>
        <v>4.5277402183240723E-2</v>
      </c>
      <c r="D35" s="8">
        <f t="shared" si="0"/>
        <v>271241625.76333332</v>
      </c>
      <c r="E35" s="7"/>
      <c r="F35" s="3"/>
    </row>
    <row r="36" spans="2:12" x14ac:dyDescent="0.25">
      <c r="B36" s="1" t="s">
        <v>12</v>
      </c>
      <c r="C36" s="5">
        <f>SUM(C30:C35)</f>
        <v>0.99999999999999978</v>
      </c>
      <c r="D36" s="8">
        <f>SUM(D30:D35)</f>
        <v>5990662288.1233339</v>
      </c>
      <c r="E36" s="7"/>
      <c r="F36" s="3"/>
    </row>
    <row r="37" spans="2:12" x14ac:dyDescent="0.25">
      <c r="D37" s="3"/>
      <c r="E37" s="7"/>
      <c r="F37" s="3"/>
    </row>
    <row r="38" spans="2:12" x14ac:dyDescent="0.25">
      <c r="C38" s="7"/>
      <c r="D38" s="7"/>
      <c r="E38" s="7"/>
      <c r="F38" s="3"/>
    </row>
    <row r="46" spans="2:12" x14ac:dyDescent="0.25">
      <c r="C46" s="36" t="s">
        <v>39</v>
      </c>
      <c r="K46" s="36" t="s">
        <v>38</v>
      </c>
    </row>
    <row r="47" spans="2:12" x14ac:dyDescent="0.25">
      <c r="B47" s="15" t="s">
        <v>0</v>
      </c>
      <c r="C47" s="15" t="s">
        <v>36</v>
      </c>
      <c r="D47" s="29">
        <v>0.77510000000000001</v>
      </c>
      <c r="E47" s="29" t="s">
        <v>37</v>
      </c>
      <c r="F47" s="13">
        <v>0.75009999999999999</v>
      </c>
      <c r="G47" s="13">
        <v>0.24990000000000001</v>
      </c>
      <c r="H47" s="13">
        <v>4.02E-2</v>
      </c>
      <c r="I47" s="13">
        <v>0.02</v>
      </c>
      <c r="J47" s="14" t="s">
        <v>14</v>
      </c>
      <c r="K47" s="15" t="s">
        <v>15</v>
      </c>
      <c r="L47" s="15" t="s">
        <v>16</v>
      </c>
    </row>
    <row r="48" spans="2:12" x14ac:dyDescent="0.25">
      <c r="B48" s="15"/>
      <c r="C48" s="15"/>
      <c r="D48" s="16" t="s">
        <v>17</v>
      </c>
      <c r="E48" s="30" t="s">
        <v>18</v>
      </c>
      <c r="F48" s="16" t="s">
        <v>19</v>
      </c>
      <c r="G48" s="16" t="s">
        <v>20</v>
      </c>
      <c r="H48" s="16" t="s">
        <v>21</v>
      </c>
      <c r="I48" s="16" t="s">
        <v>22</v>
      </c>
      <c r="J48" s="17"/>
      <c r="K48" s="15"/>
      <c r="L48" s="15"/>
    </row>
    <row r="49" spans="2:12" x14ac:dyDescent="0.25">
      <c r="B49" s="1" t="s">
        <v>2</v>
      </c>
      <c r="C49" s="4">
        <v>2546101459.75</v>
      </c>
      <c r="D49" s="18">
        <v>1973483241.452225</v>
      </c>
      <c r="E49" s="18">
        <v>572618218.29777503</v>
      </c>
      <c r="F49" s="18">
        <v>429520925.54516101</v>
      </c>
      <c r="G49" s="18">
        <v>143097292.75261399</v>
      </c>
      <c r="H49" s="19">
        <v>17266741.206915475</v>
      </c>
      <c r="I49" s="19">
        <v>2861945.8550522798</v>
      </c>
      <c r="J49" s="18">
        <v>20128687.061967757</v>
      </c>
      <c r="K49" s="4">
        <v>169565587.88000101</v>
      </c>
      <c r="L49" s="5">
        <v>0.118707382279785</v>
      </c>
    </row>
    <row r="50" spans="2:12" x14ac:dyDescent="0.25">
      <c r="B50" s="1" t="s">
        <v>10</v>
      </c>
      <c r="C50" s="4">
        <v>1570185672.02</v>
      </c>
      <c r="D50" s="18">
        <v>1217050914.3827021</v>
      </c>
      <c r="E50" s="18">
        <v>353134757.63729799</v>
      </c>
      <c r="F50" s="18">
        <v>264886381.70373723</v>
      </c>
      <c r="G50" s="18">
        <v>88248375.933560774</v>
      </c>
      <c r="H50" s="19">
        <v>10648432.544490237</v>
      </c>
      <c r="I50" s="19">
        <v>1764967.5186712155</v>
      </c>
      <c r="J50" s="18">
        <v>12413400.063161451</v>
      </c>
      <c r="K50" s="4">
        <v>14646069.77</v>
      </c>
      <c r="L50" s="5">
        <v>0.84755844114495515</v>
      </c>
    </row>
    <row r="51" spans="2:12" x14ac:dyDescent="0.25">
      <c r="B51" s="1" t="s">
        <v>4</v>
      </c>
      <c r="C51" s="4">
        <v>754405497</v>
      </c>
      <c r="D51" s="18">
        <v>584739700.72469997</v>
      </c>
      <c r="E51" s="18">
        <v>169665796.2753</v>
      </c>
      <c r="F51" s="18">
        <v>127266313.78610252</v>
      </c>
      <c r="G51" s="18">
        <v>42399482.48919747</v>
      </c>
      <c r="H51" s="19">
        <v>5116105.8142013215</v>
      </c>
      <c r="I51" s="19">
        <v>847989.64978394937</v>
      </c>
      <c r="J51" s="31">
        <v>5964095.4639852708</v>
      </c>
      <c r="K51" s="4">
        <v>6642977</v>
      </c>
      <c r="L51" s="5">
        <v>0.89780462343694301</v>
      </c>
    </row>
    <row r="52" spans="2:12" x14ac:dyDescent="0.25">
      <c r="B52" s="1" t="s">
        <v>5</v>
      </c>
      <c r="C52" s="4">
        <v>527892328.87</v>
      </c>
      <c r="D52" s="18">
        <v>409169344.10713702</v>
      </c>
      <c r="E52" s="18">
        <v>118722984.762863</v>
      </c>
      <c r="F52" s="18">
        <v>89054110.870623529</v>
      </c>
      <c r="G52" s="18">
        <v>29668873.892239463</v>
      </c>
      <c r="H52" s="19">
        <v>3579975.2569990656</v>
      </c>
      <c r="I52" s="19">
        <v>593377.47784478927</v>
      </c>
      <c r="J52" s="31">
        <v>4173352.7348438548</v>
      </c>
      <c r="K52" s="4">
        <v>35348055.060000002</v>
      </c>
      <c r="L52" s="5">
        <v>0.1180645647337592</v>
      </c>
    </row>
    <row r="53" spans="2:12" x14ac:dyDescent="0.25">
      <c r="B53" s="1" t="s">
        <v>7</v>
      </c>
      <c r="C53" s="4">
        <v>237964565.18000001</v>
      </c>
      <c r="D53" s="18">
        <v>184446334.47101802</v>
      </c>
      <c r="E53" s="18">
        <v>53518230.708981998</v>
      </c>
      <c r="F53" s="18">
        <v>40144024.854807399</v>
      </c>
      <c r="G53" s="18">
        <v>13374205.854174603</v>
      </c>
      <c r="H53" s="19">
        <v>1613789.7991632575</v>
      </c>
      <c r="I53" s="19">
        <v>267484.11708349205</v>
      </c>
      <c r="J53" s="18">
        <v>1881273.9162467495</v>
      </c>
      <c r="K53" s="4">
        <v>2823643.67</v>
      </c>
      <c r="L53" s="5">
        <v>0.66625755092063355</v>
      </c>
    </row>
    <row r="54" spans="2:12" x14ac:dyDescent="0.25">
      <c r="J54" s="20">
        <f>SUM(J49:J53)</f>
        <v>44560809.240205087</v>
      </c>
    </row>
    <row r="56" spans="2:12" x14ac:dyDescent="0.25">
      <c r="B56" s="15" t="s">
        <v>31</v>
      </c>
      <c r="C56" s="21" t="s">
        <v>23</v>
      </c>
      <c r="D56" s="21"/>
      <c r="E56" s="22" t="s">
        <v>24</v>
      </c>
    </row>
    <row r="57" spans="2:12" x14ac:dyDescent="0.25">
      <c r="B57" s="15"/>
      <c r="C57" s="23" t="s">
        <v>25</v>
      </c>
      <c r="D57" s="23" t="s">
        <v>26</v>
      </c>
      <c r="E57" s="24"/>
    </row>
    <row r="58" spans="2:12" x14ac:dyDescent="0.25">
      <c r="B58" s="28">
        <v>2021</v>
      </c>
      <c r="C58" s="25">
        <v>10526.1</v>
      </c>
      <c r="D58" s="25">
        <v>3426</v>
      </c>
      <c r="E58" s="26">
        <f>C58+D58</f>
        <v>13952.1</v>
      </c>
    </row>
    <row r="59" spans="2:12" x14ac:dyDescent="0.25">
      <c r="B59" s="28">
        <v>2022</v>
      </c>
      <c r="C59" s="25">
        <v>12752.1</v>
      </c>
      <c r="D59" s="25">
        <v>4163.2</v>
      </c>
      <c r="E59" s="26">
        <f t="shared" ref="E59:E62" si="2">C59+D59</f>
        <v>16915.3</v>
      </c>
    </row>
    <row r="60" spans="2:12" x14ac:dyDescent="0.25">
      <c r="B60" s="28">
        <v>2023</v>
      </c>
      <c r="C60" s="25">
        <v>14697.6</v>
      </c>
      <c r="D60" s="25">
        <v>5065.6000000000004</v>
      </c>
      <c r="E60" s="26">
        <f t="shared" si="2"/>
        <v>19763.2</v>
      </c>
    </row>
    <row r="61" spans="2:12" x14ac:dyDescent="0.25">
      <c r="B61" s="32" t="s">
        <v>32</v>
      </c>
      <c r="C61" s="33">
        <f>SUM(C58:C60)</f>
        <v>37975.800000000003</v>
      </c>
      <c r="D61" s="33">
        <f>SUM(D58:D60)</f>
        <v>12654.8</v>
      </c>
      <c r="E61" s="41">
        <f t="shared" si="2"/>
        <v>50630.600000000006</v>
      </c>
    </row>
    <row r="62" spans="2:12" x14ac:dyDescent="0.25">
      <c r="B62" s="28" t="s">
        <v>33</v>
      </c>
      <c r="C62" s="5">
        <f>C61/E61</f>
        <v>0.7500562900696417</v>
      </c>
      <c r="D62" s="5">
        <f>D61/E61</f>
        <v>0.24994370993035828</v>
      </c>
      <c r="E62" s="5">
        <f t="shared" si="2"/>
        <v>1</v>
      </c>
    </row>
    <row r="64" spans="2:12" x14ac:dyDescent="0.25">
      <c r="B64" t="s">
        <v>34</v>
      </c>
      <c r="D64" t="s">
        <v>27</v>
      </c>
      <c r="E64" s="27" t="s">
        <v>28</v>
      </c>
      <c r="K64" s="6"/>
    </row>
    <row r="65" spans="2:5" x14ac:dyDescent="0.25">
      <c r="C65" t="s">
        <v>35</v>
      </c>
      <c r="D65" t="s">
        <v>29</v>
      </c>
      <c r="E65" s="27" t="s">
        <v>30</v>
      </c>
    </row>
    <row r="72" spans="2:5" x14ac:dyDescent="0.25">
      <c r="B72" t="s">
        <v>27</v>
      </c>
      <c r="C72" s="27" t="s">
        <v>28</v>
      </c>
    </row>
    <row r="73" spans="2:5" x14ac:dyDescent="0.25">
      <c r="B73" t="s">
        <v>29</v>
      </c>
      <c r="C73" s="27" t="s">
        <v>30</v>
      </c>
    </row>
  </sheetData>
  <mergeCells count="16">
    <mergeCell ref="K47:K48"/>
    <mergeCell ref="C47:C48"/>
    <mergeCell ref="L47:L48"/>
    <mergeCell ref="B56:B57"/>
    <mergeCell ref="C56:D56"/>
    <mergeCell ref="E56:E57"/>
    <mergeCell ref="B47:B48"/>
    <mergeCell ref="J47:J48"/>
    <mergeCell ref="B2:B3"/>
    <mergeCell ref="C2:H2"/>
    <mergeCell ref="B11:H16"/>
    <mergeCell ref="B18:B19"/>
    <mergeCell ref="C18:E18"/>
    <mergeCell ref="B28:B29"/>
    <mergeCell ref="D28:D29"/>
    <mergeCell ref="C28:C29"/>
  </mergeCells>
  <hyperlinks>
    <hyperlink ref="C72" r:id="rId1" xr:uid="{898ACB3C-EADE-4D5D-A1B6-CB7984BD079C}"/>
    <hyperlink ref="C73" r:id="rId2" xr:uid="{4765E5A8-A3C4-4224-B434-AF6D748D1854}"/>
    <hyperlink ref="E64" r:id="rId3" xr:uid="{85BD1160-3275-4632-A624-1F88B7B61263}"/>
    <hyperlink ref="E65" r:id="rId4" xr:uid="{9E7C5AC3-3476-44BE-A810-442E087E6E07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CECIBEL DE LA GUERRA BELTRAN</dc:creator>
  <cp:lastModifiedBy>Leandro Correa</cp:lastModifiedBy>
  <dcterms:created xsi:type="dcterms:W3CDTF">2026-02-22T23:21:45Z</dcterms:created>
  <dcterms:modified xsi:type="dcterms:W3CDTF">2026-02-23T18:59:25Z</dcterms:modified>
</cp:coreProperties>
</file>