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OneDrive\Desktop\"/>
    </mc:Choice>
  </mc:AlternateContent>
  <xr:revisionPtr revIDLastSave="0" documentId="13_ncr:1_{19C27B3D-9597-4E4C-9E75-33CF984842B4}" xr6:coauthVersionLast="47" xr6:coauthVersionMax="47" xr10:uidLastSave="{00000000-0000-0000-0000-000000000000}"/>
  <bookViews>
    <workbookView xWindow="-120" yWindow="-120" windowWidth="29040" windowHeight="15720" activeTab="3" xr2:uid="{01A9DC04-6E7A-4721-B191-1CFCE6B7DAF0}"/>
  </bookViews>
  <sheets>
    <sheet name="EDGI" sheetId="1" r:id="rId1"/>
    <sheet name="ACC" sheetId="2" r:id="rId2"/>
    <sheet name="ECO" sheetId="3" r:id="rId3"/>
    <sheet name="PAY" sheetId="4" r:id="rId4"/>
    <sheet name="IND. DIG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D23" i="5"/>
  <c r="I23" i="5"/>
  <c r="H23" i="5"/>
  <c r="K52" i="4"/>
  <c r="K51" i="4"/>
  <c r="K56" i="4"/>
  <c r="K55" i="4"/>
  <c r="P66" i="3" l="1"/>
  <c r="O66" i="3"/>
  <c r="M11" i="1"/>
  <c r="D11" i="1"/>
  <c r="F11" i="2"/>
  <c r="AB43" i="2"/>
  <c r="T21" i="2"/>
  <c r="V43" i="2"/>
  <c r="N21" i="2"/>
  <c r="O43" i="2"/>
  <c r="I43" i="2"/>
  <c r="D43" i="2"/>
  <c r="I48" i="1"/>
  <c r="I49" i="1"/>
  <c r="Q43" i="1"/>
  <c r="K43" i="1"/>
  <c r="D43" i="1"/>
  <c r="G23" i="5"/>
  <c r="M15" i="1" l="1"/>
  <c r="I15" i="1"/>
  <c r="D15" i="1"/>
  <c r="M13" i="1"/>
  <c r="I13" i="1"/>
  <c r="D13" i="1"/>
  <c r="Q40" i="1"/>
  <c r="Q37" i="1"/>
  <c r="K40" i="1"/>
  <c r="K37" i="1"/>
  <c r="D40" i="1" l="1"/>
  <c r="I53" i="1" s="1"/>
  <c r="D37" i="1"/>
  <c r="I51" i="1" s="1"/>
  <c r="F59" i="1"/>
  <c r="F65" i="1"/>
  <c r="F23" i="5"/>
  <c r="E11" i="5"/>
  <c r="F11" i="5"/>
  <c r="G11" i="5"/>
  <c r="D11" i="5"/>
  <c r="F67" i="1"/>
  <c r="L90" i="1"/>
  <c r="F68" i="1" s="1"/>
  <c r="L87" i="1"/>
  <c r="F66" i="1" s="1"/>
  <c r="K54" i="4"/>
  <c r="K53" i="4"/>
  <c r="J67" i="1" l="1"/>
  <c r="K28" i="4"/>
  <c r="Q66" i="3"/>
  <c r="R66" i="3"/>
  <c r="S66" i="3"/>
  <c r="T66" i="3"/>
  <c r="T65" i="3"/>
  <c r="S65" i="3"/>
  <c r="R65" i="3"/>
  <c r="T64" i="3"/>
  <c r="S64" i="3"/>
  <c r="R64" i="3"/>
  <c r="T63" i="3"/>
  <c r="S63" i="3"/>
  <c r="R63" i="3"/>
  <c r="T62" i="3"/>
  <c r="S62" i="3"/>
  <c r="R62" i="3"/>
  <c r="Q65" i="3"/>
  <c r="Q64" i="3"/>
  <c r="Q63" i="3"/>
  <c r="Q62" i="3"/>
  <c r="W49" i="3"/>
  <c r="V31" i="3"/>
  <c r="V30" i="3"/>
  <c r="W52" i="3"/>
  <c r="O49" i="3"/>
  <c r="O52" i="3"/>
  <c r="J45" i="3"/>
  <c r="E45" i="3"/>
  <c r="F42" i="3" s="1"/>
  <c r="J7" i="2"/>
  <c r="J11" i="2" s="1"/>
  <c r="G7" i="2"/>
  <c r="G11" i="2" s="1"/>
  <c r="H7" i="2"/>
  <c r="H11" i="2" s="1"/>
  <c r="I7" i="2"/>
  <c r="I11" i="2" s="1"/>
  <c r="E7" i="2"/>
  <c r="E11" i="2" s="1"/>
  <c r="F60" i="1"/>
  <c r="F61" i="1"/>
  <c r="F62" i="1"/>
  <c r="F63" i="1"/>
  <c r="F64" i="1"/>
  <c r="F58" i="1"/>
  <c r="G25" i="4" l="1"/>
  <c r="D25" i="4"/>
  <c r="K36" i="4" l="1"/>
  <c r="K72" i="4" s="1"/>
  <c r="K35" i="4"/>
  <c r="K71" i="4" s="1"/>
  <c r="K37" i="4"/>
  <c r="K73" i="4" s="1"/>
  <c r="K39" i="4"/>
  <c r="K75" i="4" s="1"/>
  <c r="K38" i="4"/>
  <c r="K74" i="4" s="1"/>
  <c r="K40" i="4"/>
  <c r="K76" i="4" s="1"/>
</calcChain>
</file>

<file path=xl/sharedStrings.xml><?xml version="1.0" encoding="utf-8"?>
<sst xmlns="http://schemas.openxmlformats.org/spreadsheetml/2006/main" count="216" uniqueCount="130">
  <si>
    <t xml:space="preserve">Año </t>
  </si>
  <si>
    <t>OSI</t>
  </si>
  <si>
    <t>HCI</t>
  </si>
  <si>
    <t>TII</t>
  </si>
  <si>
    <t>EDGI</t>
  </si>
  <si>
    <t>Fuente</t>
  </si>
  <si>
    <t>https://publicadministration.un.org/egovkb/en-us/Data/Country-Information/id/52-Ecuador/dataYear/2024</t>
  </si>
  <si>
    <t>ACC</t>
  </si>
  <si>
    <t>Hogares con acceso a internet</t>
  </si>
  <si>
    <t>Porcentaje de personas que utilizan internet</t>
  </si>
  <si>
    <t>Proporción de personas que tienen teléfono 
celular activado</t>
  </si>
  <si>
    <t>Porcentaje de personas que tienen teléfono 
inteligente</t>
  </si>
  <si>
    <t>Analfabetismo digital</t>
  </si>
  <si>
    <t>HI</t>
  </si>
  <si>
    <t>PI</t>
  </si>
  <si>
    <t>CA</t>
  </si>
  <si>
    <t>SP</t>
  </si>
  <si>
    <t>AD</t>
  </si>
  <si>
    <t>Indicadores</t>
  </si>
  <si>
    <t>AN</t>
  </si>
  <si>
    <t>Alfabetismo digital (Analfabetismo -1)</t>
  </si>
  <si>
    <t>FUENTE</t>
  </si>
  <si>
    <t>https://www.ecuadorencifras.gob.ec/tecnologias-de-la-informacion-y-comunicacion-tic/</t>
  </si>
  <si>
    <t>EXCEL</t>
  </si>
  <si>
    <t>PORCENTAJES</t>
  </si>
  <si>
    <t xml:space="preserve">Exportaciones de TI </t>
  </si>
  <si>
    <t xml:space="preserve">Trimestres </t>
  </si>
  <si>
    <t xml:space="preserve">Credito (MM) </t>
  </si>
  <si>
    <t xml:space="preserve">Total Anual </t>
  </si>
  <si>
    <t xml:space="preserve">Inversion extranjera directa de TI </t>
  </si>
  <si>
    <t>IDE miles</t>
  </si>
  <si>
    <t>Total Anual MM</t>
  </si>
  <si>
    <t>X</t>
  </si>
  <si>
    <t>Y</t>
  </si>
  <si>
    <t>y = 99,3x + 497,47</t>
  </si>
  <si>
    <t>y=(99,3*25)+497,47</t>
  </si>
  <si>
    <t>y=(99,3*26)+497,47</t>
  </si>
  <si>
    <t>VAB TI MM</t>
  </si>
  <si>
    <t>VAB CC MM</t>
  </si>
  <si>
    <t>Valor Agregado Bruto de Actividades postales, correo, comunicaciones e información (VAB TI)</t>
  </si>
  <si>
    <t>Valor Agregado Bruto  Comercio al por mayor y al por menor; y servicios de reparación de vehículos automotores y motocicletas (VAB COM)</t>
  </si>
  <si>
    <t>y(2024) =</t>
  </si>
  <si>
    <t>y(2025) =</t>
  </si>
  <si>
    <t>y = 716,81x + 1072,4</t>
  </si>
  <si>
    <t>y = (716,81*25) + 1072,4</t>
  </si>
  <si>
    <t>y = (716,81*26) + 1072,4</t>
  </si>
  <si>
    <t>ECO FORMULA</t>
  </si>
  <si>
    <t>ECO =</t>
  </si>
  <si>
    <t>IDE</t>
  </si>
  <si>
    <t>EXP+IDE+VAB(TI)</t>
  </si>
  <si>
    <t>VAB(COM)</t>
  </si>
  <si>
    <t>https://www.ecuadorencifras.gob.ec/documentos/web-inec/Estadisticas_Sociales/TIC/2024/202407_Tecnologia_de_la_Informacion_y_Comunicacion-TICs.pdf</t>
  </si>
  <si>
    <t>EXP</t>
  </si>
  <si>
    <t>VAB(TI)</t>
  </si>
  <si>
    <t>IND / AÑO</t>
  </si>
  <si>
    <t>ECO</t>
  </si>
  <si>
    <t>FUENTES</t>
  </si>
  <si>
    <t>VAB</t>
  </si>
  <si>
    <t>https://contenido.bce.fin.ec/documentos/informacioneconomica/SectorExterno/ix_BalanzaPagos.html</t>
  </si>
  <si>
    <t>Balanza pagos</t>
  </si>
  <si>
    <t>Servicios</t>
  </si>
  <si>
    <t>https://contenido.bce.fin.ec/documentos/informacioneconomica/SectorExterno/ix_InversionExtranjeraDirecta.html</t>
  </si>
  <si>
    <t>Rama</t>
  </si>
  <si>
    <t>https://contenido.bce.fin.ec/documentos/informacioneconomica/cuentasnacionales/ix_cuentasnacionalesanuales.html</t>
  </si>
  <si>
    <t>Cuentas nacionales anuales</t>
  </si>
  <si>
    <t>Serie Histórica y PIB Per Cápita</t>
  </si>
  <si>
    <t>Año</t>
  </si>
  <si>
    <t>Valor</t>
  </si>
  <si>
    <t>Sistema de pagos interbancarios / Producto interno bruto nominal</t>
  </si>
  <si>
    <t xml:space="preserve"> 7,2709X + 36,129</t>
  </si>
  <si>
    <t>Y =</t>
  </si>
  <si>
    <t xml:space="preserve"> 7,2709*(16) + 36,129</t>
  </si>
  <si>
    <t>GRADO DE DESARROLLO DIGITAL</t>
  </si>
  <si>
    <t>,</t>
  </si>
  <si>
    <t>CS (Índice de Desarrollo del Sistema de Pagos)</t>
  </si>
  <si>
    <t>AÑO</t>
  </si>
  <si>
    <t>POS</t>
  </si>
  <si>
    <t>RETIROS</t>
  </si>
  <si>
    <t>Fuentes</t>
  </si>
  <si>
    <t>https://www.superbancos.gob.ec/estadisticas/portalestudios/servicios-financieros/</t>
  </si>
  <si>
    <t>GDNORM</t>
  </si>
  <si>
    <t xml:space="preserve">GDNORM = </t>
  </si>
  <si>
    <t>GDi - min(GD)</t>
  </si>
  <si>
    <t>Max(GD)-Min(GD)</t>
  </si>
  <si>
    <t>https://www.oecd.org/content/dam/oecd/en/publications/reports/2008/08/handbook-on-constructing-composite-indicators-methodology-and-user-guide_g1gh9301/9789264043466-en.pdf</t>
  </si>
  <si>
    <t>Pagina 85</t>
  </si>
  <si>
    <t xml:space="preserve">Fuente </t>
  </si>
  <si>
    <t>Formula</t>
  </si>
  <si>
    <t>https://contenido.bce.fin.ec/documentos/Administracion/snp-DEAMP2024.pdf</t>
  </si>
  <si>
    <t>Pagina 36</t>
  </si>
  <si>
    <t>SIP/PIB  (GD)</t>
  </si>
  <si>
    <t>CS =</t>
  </si>
  <si>
    <t>POS + RETIROS</t>
  </si>
  <si>
    <t>CS</t>
  </si>
  <si>
    <t>%</t>
  </si>
  <si>
    <t>AÑOS</t>
  </si>
  <si>
    <t>PAY</t>
  </si>
  <si>
    <t>SPI/PIB</t>
  </si>
  <si>
    <t>https://contenido.bce.fin.ec/documentos/informacioneconomica/MediosPago/ix_MediosPagoPrin.html#</t>
  </si>
  <si>
    <t>y=</t>
  </si>
  <si>
    <t>0,0414x+0,3768</t>
  </si>
  <si>
    <t>0,0414(9,5)+0,3768</t>
  </si>
  <si>
    <t>0,0414(8,5)+0,3768</t>
  </si>
  <si>
    <t>y (2023)=</t>
  </si>
  <si>
    <t>y(2025)=</t>
  </si>
  <si>
    <t>Formula 3 Variables</t>
  </si>
  <si>
    <t>IND-DIG</t>
  </si>
  <si>
    <t>1/3ACC + 1/3ECO + 1/3PAY</t>
  </si>
  <si>
    <t>Formula 4 Variables</t>
  </si>
  <si>
    <t>1/4ACC + 1/4ECO + 1/4PAY + 1/4EDGI</t>
  </si>
  <si>
    <t>https://www.uaeh.edu.mx/docencia/VI_Lectura/licenciatura/documentos/LEC4.pdf</t>
  </si>
  <si>
    <t>0,0677(x)+0,2751</t>
  </si>
  <si>
    <t>y(2023)=</t>
  </si>
  <si>
    <t>0,0677(8,5)+0,2751</t>
  </si>
  <si>
    <t>0,0677(9,5)+0,2751</t>
  </si>
  <si>
    <t>0,0062(x^2)-0,0683(x)+0,9149</t>
  </si>
  <si>
    <t>0,0062(8,5^2)-0,0683(8,5)+0,9149</t>
  </si>
  <si>
    <t>0,0062(9,5^2)-0,0683(9,5)+0,9149</t>
  </si>
  <si>
    <t>0,0633(x)+0,0535</t>
  </si>
  <si>
    <t>0,0633(8,5)+0,0535</t>
  </si>
  <si>
    <t>0,0633(9,5)+0,0535</t>
  </si>
  <si>
    <t xml:space="preserve">EDGI </t>
  </si>
  <si>
    <t>&lt;W</t>
  </si>
  <si>
    <t>y(2021)=</t>
  </si>
  <si>
    <t>0,0677(7,5)+0,2751</t>
  </si>
  <si>
    <t>0,0062(7,5^2)-0,0683(7,5)+0,9149</t>
  </si>
  <si>
    <t>0,0633(7,5)+0,0535</t>
  </si>
  <si>
    <t>Y(2021)=</t>
  </si>
  <si>
    <t xml:space="preserve">y(2021) = 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</si>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</sst>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_ ;_ @_ "/>
    <numFmt numFmtId="165" formatCode="#,##0.0"/>
    <numFmt numFmtId="166" formatCode="_ * #,##0.0_ ;_ * \-#,##0.0_ ;_ * &quot;-&quot;??_ ;_ @_ "/>
    <numFmt numFmtId="167" formatCode="0.00000"/>
    <numFmt numFmtId="168" formatCode="0.0000"/>
    <numFmt numFmtId="172" formatCode="0.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2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6" fontId="4" fillId="0" borderId="4" xfId="3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0" fontId="0" fillId="5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3" fillId="0" borderId="0" xfId="2" applyAlignment="1">
      <alignment vertical="center"/>
    </xf>
    <xf numFmtId="0" fontId="0" fillId="8" borderId="0" xfId="0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8" borderId="1" xfId="0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0" xfId="0" applyNumberFormat="1"/>
    <xf numFmtId="0" fontId="2" fillId="8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8" fontId="0" fillId="0" borderId="0" xfId="0" applyNumberFormat="1" applyAlignment="1">
      <alignment horizontal="center" wrapText="1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164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7" fillId="0" borderId="0" xfId="0" applyFont="1"/>
    <xf numFmtId="172" fontId="0" fillId="0" borderId="0" xfId="0" applyNumberFormat="1"/>
    <xf numFmtId="0" fontId="0" fillId="11" borderId="0" xfId="0" applyFill="1" applyAlignment="1">
      <alignment horizontal="center"/>
    </xf>
  </cellXfs>
  <cellStyles count="4">
    <cellStyle name="Hipervínculo" xfId="2" builtinId="8"/>
    <cellStyle name="Millares 2 2" xfId="3" xr:uid="{4C171523-9D11-43B8-BFB3-96BCBBA91885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Diagrama</a:t>
            </a:r>
            <a:r>
              <a:rPr lang="es-MX" baseline="0"/>
              <a:t> de Dispersion del EDGI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322178477690286E-2"/>
                  <c:y val="0.335072543015456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EDGI!$J$58:$J$66</c:f>
              <c:numCache>
                <c:formatCode>0.00%</c:formatCode>
                <c:ptCount val="9"/>
                <c:pt idx="0">
                  <c:v>0.48443333333333333</c:v>
                </c:pt>
                <c:pt idx="1">
                  <c:v>0.43336666666666668</c:v>
                </c:pt>
                <c:pt idx="2">
                  <c:v>0.48686666666666673</c:v>
                </c:pt>
                <c:pt idx="3">
                  <c:v>0.50526666666666664</c:v>
                </c:pt>
                <c:pt idx="4">
                  <c:v>0.56253333333333322</c:v>
                </c:pt>
                <c:pt idx="5">
                  <c:v>0.61286666666666667</c:v>
                </c:pt>
                <c:pt idx="6">
                  <c:v>0.70146666666666668</c:v>
                </c:pt>
                <c:pt idx="7">
                  <c:v>0.6889333333333334</c:v>
                </c:pt>
                <c:pt idx="8">
                  <c:v>0.77999999999999992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0-4CED-BF9A-FE24735FD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722543"/>
        <c:axId val="1195723983"/>
      </c:scatterChart>
      <c:valAx>
        <c:axId val="119572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5723983"/>
        <c:crosses val="autoZero"/>
        <c:crossBetween val="midCat"/>
      </c:valAx>
      <c:valAx>
        <c:axId val="11957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572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OSI</a:t>
            </a:r>
          </a:p>
        </c:rich>
      </c:tx>
      <c:layout>
        <c:manualLayout>
          <c:xMode val="edge"/>
          <c:yMode val="edge"/>
          <c:x val="0.4478611111111110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744313210848644E-2"/>
                  <c:y val="0.4301388888888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EDGI!$D$4:$D$14</c:f>
              <c:numCache>
                <c:formatCode>General</c:formatCode>
                <c:ptCount val="11"/>
                <c:pt idx="0">
                  <c:v>0.44479999999999997</c:v>
                </c:pt>
                <c:pt idx="1">
                  <c:v>0.3175</c:v>
                </c:pt>
                <c:pt idx="2">
                  <c:v>0.45750000000000002</c:v>
                </c:pt>
                <c:pt idx="3">
                  <c:v>0.4803</c:v>
                </c:pt>
                <c:pt idx="4">
                  <c:v>0.63039999999999996</c:v>
                </c:pt>
                <c:pt idx="5">
                  <c:v>0.72919999999999996</c:v>
                </c:pt>
                <c:pt idx="6">
                  <c:v>0.81179999999999997</c:v>
                </c:pt>
                <c:pt idx="7">
                  <c:v>0.78284999999999993</c:v>
                </c:pt>
                <c:pt idx="8">
                  <c:v>0.7651</c:v>
                </c:pt>
                <c:pt idx="9">
                  <c:v>0.85055000000000003</c:v>
                </c:pt>
                <c:pt idx="10">
                  <c:v>0.8851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1-4DD2-B2C2-4C66F738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585663"/>
        <c:axId val="781588543"/>
      </c:scatterChart>
      <c:valAx>
        <c:axId val="78158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1588543"/>
        <c:crosses val="autoZero"/>
        <c:crossBetween val="midCat"/>
      </c:valAx>
      <c:valAx>
        <c:axId val="78158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158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HCI</a:t>
            </a:r>
          </a:p>
        </c:rich>
      </c:tx>
      <c:layout>
        <c:manualLayout>
          <c:xMode val="edge"/>
          <c:yMode val="edge"/>
          <c:x val="0.4784166666666666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5686351706036748E-2"/>
                  <c:y val="0.29125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EDGI!$I$4:$I$14</c:f>
              <c:numCache>
                <c:formatCode>General</c:formatCode>
                <c:ptCount val="11"/>
                <c:pt idx="0">
                  <c:v>0.85660000000000003</c:v>
                </c:pt>
                <c:pt idx="1">
                  <c:v>0.82310000000000005</c:v>
                </c:pt>
                <c:pt idx="2">
                  <c:v>0.75490000000000002</c:v>
                </c:pt>
                <c:pt idx="3">
                  <c:v>0.70369999999999999</c:v>
                </c:pt>
                <c:pt idx="4">
                  <c:v>0.71340000000000003</c:v>
                </c:pt>
                <c:pt idx="5">
                  <c:v>0.73950000000000005</c:v>
                </c:pt>
                <c:pt idx="6">
                  <c:v>0.77929999999999999</c:v>
                </c:pt>
                <c:pt idx="7">
                  <c:v>0.75140000000000007</c:v>
                </c:pt>
                <c:pt idx="8">
                  <c:v>0.77480000000000004</c:v>
                </c:pt>
                <c:pt idx="9">
                  <c:v>0.7823</c:v>
                </c:pt>
                <c:pt idx="10">
                  <c:v>0.77149999999999996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1-44A7-978A-DB56D1E51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767039"/>
        <c:axId val="1826766559"/>
      </c:scatterChart>
      <c:valAx>
        <c:axId val="182676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6766559"/>
        <c:crosses val="autoZero"/>
        <c:crossBetween val="midCat"/>
      </c:valAx>
      <c:valAx>
        <c:axId val="18267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676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811242344706909E-2"/>
                  <c:y val="0.40239537766112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EDGI!$M$4:$M$14</c:f>
              <c:numCache>
                <c:formatCode>General</c:formatCode>
                <c:ptCount val="11"/>
                <c:pt idx="0">
                  <c:v>0.15190000000000001</c:v>
                </c:pt>
                <c:pt idx="1">
                  <c:v>0.1595</c:v>
                </c:pt>
                <c:pt idx="2">
                  <c:v>0.2482</c:v>
                </c:pt>
                <c:pt idx="3">
                  <c:v>0.33179999999999998</c:v>
                </c:pt>
                <c:pt idx="4">
                  <c:v>0.34379999999999999</c:v>
                </c:pt>
                <c:pt idx="5">
                  <c:v>0.36990000000000001</c:v>
                </c:pt>
                <c:pt idx="6">
                  <c:v>0.51329999999999998</c:v>
                </c:pt>
                <c:pt idx="7">
                  <c:v>0.52825</c:v>
                </c:pt>
                <c:pt idx="8">
                  <c:v>0.52690000000000003</c:v>
                </c:pt>
                <c:pt idx="9">
                  <c:v>0.59154999999999991</c:v>
                </c:pt>
                <c:pt idx="10">
                  <c:v>0.68340000000000001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31-46DC-A3A4-3FC22E29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306687"/>
        <c:axId val="875300447"/>
      </c:scatterChart>
      <c:valAx>
        <c:axId val="87530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5300447"/>
        <c:crosses val="autoZero"/>
        <c:crossBetween val="midCat"/>
      </c:valAx>
      <c:valAx>
        <c:axId val="8753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530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334645669291339E-3"/>
                  <c:y val="0.3260181539807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ACC!$C$20:$C$25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ACC!$D$20:$D$25</c:f>
              <c:numCache>
                <c:formatCode>General</c:formatCode>
                <c:ptCount val="6"/>
                <c:pt idx="0">
                  <c:v>53.2</c:v>
                </c:pt>
                <c:pt idx="2">
                  <c:v>60.4</c:v>
                </c:pt>
                <c:pt idx="3">
                  <c:v>62.2</c:v>
                </c:pt>
                <c:pt idx="4">
                  <c:v>66</c:v>
                </c:pt>
                <c:pt idx="5" formatCode="0.00">
                  <c:v>71.342500000000001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B-4578-BD40-1AD15099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96063"/>
        <c:axId val="922897023"/>
      </c:scatterChart>
      <c:valAx>
        <c:axId val="92289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97023"/>
        <c:crosses val="autoZero"/>
        <c:crossBetween val="midCat"/>
      </c:valAx>
      <c:valAx>
        <c:axId val="9228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9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299868766404201E-2"/>
                  <c:y val="0.384658428113152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ACC!$H$20:$H$25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ACC!$I$20:$I$25</c:f>
              <c:numCache>
                <c:formatCode>General</c:formatCode>
                <c:ptCount val="6"/>
                <c:pt idx="0">
                  <c:v>70.7</c:v>
                </c:pt>
                <c:pt idx="2">
                  <c:v>69.7</c:v>
                </c:pt>
                <c:pt idx="3">
                  <c:v>72.7</c:v>
                </c:pt>
                <c:pt idx="4">
                  <c:v>77.2</c:v>
                </c:pt>
                <c:pt idx="5" formatCode="0.00">
                  <c:v>80.070700000000002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3-4D6A-97CA-CB03F6E14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77663"/>
        <c:axId val="922977183"/>
      </c:scatterChart>
      <c:valAx>
        <c:axId val="92297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977183"/>
        <c:crosses val="autoZero"/>
        <c:crossBetween val="midCat"/>
      </c:valAx>
      <c:valAx>
        <c:axId val="922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97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</a:t>
            </a:r>
          </a:p>
        </c:rich>
      </c:tx>
      <c:layout>
        <c:manualLayout>
          <c:xMode val="edge"/>
          <c:yMode val="edge"/>
          <c:x val="0.364527777777777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783902012248465E-2"/>
                  <c:y val="0.485694444444444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ACC!$M$22:$M$25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ACC!$N$22:$N$25</c:f>
              <c:numCache>
                <c:formatCode>General</c:formatCode>
                <c:ptCount val="4"/>
                <c:pt idx="0">
                  <c:v>58.8</c:v>
                </c:pt>
                <c:pt idx="1">
                  <c:v>59.6</c:v>
                </c:pt>
                <c:pt idx="2">
                  <c:v>61.3</c:v>
                </c:pt>
                <c:pt idx="3" formatCode="0.00">
                  <c:v>61.928699999999999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E-4853-9AFE-651E83AD4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01343"/>
        <c:axId val="922909503"/>
      </c:scatterChart>
      <c:valAx>
        <c:axId val="92290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909503"/>
        <c:crosses val="autoZero"/>
        <c:crossBetween val="midCat"/>
      </c:valAx>
      <c:valAx>
        <c:axId val="9229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90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10979877515305E-2"/>
                  <c:y val="0.46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ACC!$R$20:$R$25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ACC!$S$20:$S$25</c:f>
              <c:numCache>
                <c:formatCode>General</c:formatCode>
                <c:ptCount val="6"/>
                <c:pt idx="0">
                  <c:v>51.5</c:v>
                </c:pt>
                <c:pt idx="2">
                  <c:v>52.2</c:v>
                </c:pt>
                <c:pt idx="3">
                  <c:v>55.6</c:v>
                </c:pt>
                <c:pt idx="4">
                  <c:v>57.7</c:v>
                </c:pt>
                <c:pt idx="5" formatCode="0.00">
                  <c:v>59.333799999999997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6-4BB4-BA8A-DD60E0423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82143"/>
        <c:axId val="922898943"/>
      </c:scatterChart>
      <c:valAx>
        <c:axId val="92288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98943"/>
        <c:crosses val="autoZero"/>
        <c:crossBetween val="midCat"/>
      </c:valAx>
      <c:valAx>
        <c:axId val="92289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8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7522090988626419E-2"/>
                  <c:y val="0.41563611840186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ACC!$W$20:$W$25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ACC!$X$20:$X$25</c:f>
              <c:numCache>
                <c:formatCode>General</c:formatCode>
                <c:ptCount val="6"/>
                <c:pt idx="0">
                  <c:v>89.8</c:v>
                </c:pt>
                <c:pt idx="2">
                  <c:v>91.8</c:v>
                </c:pt>
                <c:pt idx="3">
                  <c:v>92.4</c:v>
                </c:pt>
                <c:pt idx="4">
                  <c:v>94.6</c:v>
                </c:pt>
                <c:pt idx="5" formatCode="0.00">
                  <c:v>97.865399999999994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B-487B-AEC9-051E6E8D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77343"/>
        <c:axId val="922877823"/>
      </c:scatterChart>
      <c:valAx>
        <c:axId val="92287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77823"/>
        <c:crosses val="autoZero"/>
        <c:crossBetween val="midCat"/>
      </c:valAx>
      <c:valAx>
        <c:axId val="92287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287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Diagrama</a:t>
            </a:r>
            <a:r>
              <a:rPr lang="es-MX" baseline="0"/>
              <a:t> de Dispersion del VAB TI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708005249343833E-2"/>
                  <c:y val="0.44364501312335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[1]Hoja1!$I$96:$I$119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[1]Hoja1!$J$96:$J$119</c:f>
              <c:numCache>
                <c:formatCode>General</c:formatCode>
                <c:ptCount val="24"/>
                <c:pt idx="0">
                  <c:v>252.1632027293052</c:v>
                </c:pt>
                <c:pt idx="1">
                  <c:v>570.68554797411991</c:v>
                </c:pt>
                <c:pt idx="2">
                  <c:v>669.73231714984092</c:v>
                </c:pt>
                <c:pt idx="3">
                  <c:v>797.07046908475775</c:v>
                </c:pt>
                <c:pt idx="4">
                  <c:v>905.26654218311364</c:v>
                </c:pt>
                <c:pt idx="5">
                  <c:v>1107.3071785371305</c:v>
                </c:pt>
                <c:pt idx="6">
                  <c:v>1108.2660617507192</c:v>
                </c:pt>
                <c:pt idx="7">
                  <c:v>1193.9596368066186</c:v>
                </c:pt>
                <c:pt idx="8">
                  <c:v>1412.1872606605109</c:v>
                </c:pt>
                <c:pt idx="9">
                  <c:v>1538.6742155278691</c:v>
                </c:pt>
                <c:pt idx="10">
                  <c:v>1730.2728951223178</c:v>
                </c:pt>
                <c:pt idx="11">
                  <c:v>1923.2817627140519</c:v>
                </c:pt>
                <c:pt idx="12">
                  <c:v>2087.185303847546</c:v>
                </c:pt>
                <c:pt idx="13">
                  <c:v>2248.0758053275558</c:v>
                </c:pt>
                <c:pt idx="14">
                  <c:v>2437.6355819139667</c:v>
                </c:pt>
                <c:pt idx="15">
                  <c:v>2347.3153945260569</c:v>
                </c:pt>
                <c:pt idx="16">
                  <c:v>2344.4072560906679</c:v>
                </c:pt>
                <c:pt idx="17">
                  <c:v>2429.6325415393558</c:v>
                </c:pt>
                <c:pt idx="18">
                  <c:v>2567.002</c:v>
                </c:pt>
                <c:pt idx="19">
                  <c:v>2485.971</c:v>
                </c:pt>
                <c:pt idx="20">
                  <c:v>2310.192</c:v>
                </c:pt>
                <c:pt idx="21">
                  <c:v>2310.1120000000001</c:v>
                </c:pt>
                <c:pt idx="22">
                  <c:v>2483.2919999999999</c:v>
                </c:pt>
                <c:pt idx="23">
                  <c:v>2469.6010000000001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C-48F1-9C30-5AD07CAA6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0175"/>
        <c:axId val="442888735"/>
      </c:scatterChart>
      <c:valAx>
        <c:axId val="4428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88735"/>
        <c:crosses val="autoZero"/>
        <c:crossBetween val="midCat"/>
      </c:valAx>
      <c:valAx>
        <c:axId val="4428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Diagrama de Dispersion del VAB COM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976266264589266E-2"/>
                  <c:y val="0.382681838403942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ECO!$X$6:$X$29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ECO!$Y$6:$Y$29</c:f>
              <c:numCache>
                <c:formatCode>0.00</c:formatCode>
                <c:ptCount val="24"/>
                <c:pt idx="0">
                  <c:v>2711.1569478927008</c:v>
                </c:pt>
                <c:pt idx="1">
                  <c:v>3589.6228037791866</c:v>
                </c:pt>
                <c:pt idx="2">
                  <c:v>3719.7714548494023</c:v>
                </c:pt>
                <c:pt idx="3">
                  <c:v>3951.997714845827</c:v>
                </c:pt>
                <c:pt idx="4">
                  <c:v>4144.0474083901527</c:v>
                </c:pt>
                <c:pt idx="5">
                  <c:v>4662.3856782800112</c:v>
                </c:pt>
                <c:pt idx="6">
                  <c:v>5050.5352556730159</c:v>
                </c:pt>
                <c:pt idx="7">
                  <c:v>5361.5850660760962</c:v>
                </c:pt>
                <c:pt idx="8">
                  <c:v>7002.7143829627612</c:v>
                </c:pt>
                <c:pt idx="9">
                  <c:v>7028.8881893778052</c:v>
                </c:pt>
                <c:pt idx="10">
                  <c:v>8094.4001056766911</c:v>
                </c:pt>
                <c:pt idx="11">
                  <c:v>9741.513408971874</c:v>
                </c:pt>
                <c:pt idx="12">
                  <c:v>10893.316257586515</c:v>
                </c:pt>
                <c:pt idx="13">
                  <c:v>12453.596105231378</c:v>
                </c:pt>
                <c:pt idx="14">
                  <c:v>13656.013516275038</c:v>
                </c:pt>
                <c:pt idx="15">
                  <c:v>13729.011609947451</c:v>
                </c:pt>
                <c:pt idx="16">
                  <c:v>13426.174428811921</c:v>
                </c:pt>
                <c:pt idx="17">
                  <c:v>14403.920518301371</c:v>
                </c:pt>
                <c:pt idx="18">
                  <c:v>15248.874</c:v>
                </c:pt>
                <c:pt idx="19">
                  <c:v>15276.686</c:v>
                </c:pt>
                <c:pt idx="20">
                  <c:v>13602.415000000001</c:v>
                </c:pt>
                <c:pt idx="21">
                  <c:v>16230.15</c:v>
                </c:pt>
                <c:pt idx="22">
                  <c:v>18183.8</c:v>
                </c:pt>
                <c:pt idx="23">
                  <c:v>18620.260999999999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D-4416-A4C3-07F29E36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69007"/>
        <c:axId val="1198971055"/>
      </c:scatterChart>
      <c:valAx>
        <c:axId val="120146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8971055"/>
        <c:crosses val="autoZero"/>
        <c:crossBetween val="midCat"/>
      </c:valAx>
      <c:valAx>
        <c:axId val="11989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46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Diagrama de Dispersion SPI / PIB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39413823272091E-2"/>
                  <c:y val="0.37458333333333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PAY!$D$10:$D$24</c:f>
              <c:numCache>
                <c:formatCode>General</c:formatCode>
                <c:ptCount val="15"/>
                <c:pt idx="0">
                  <c:v>44.96</c:v>
                </c:pt>
                <c:pt idx="1">
                  <c:v>49.85</c:v>
                </c:pt>
                <c:pt idx="2">
                  <c:v>55.58</c:v>
                </c:pt>
                <c:pt idx="3">
                  <c:v>60.65</c:v>
                </c:pt>
                <c:pt idx="4">
                  <c:v>65.19</c:v>
                </c:pt>
                <c:pt idx="5">
                  <c:v>89.82</c:v>
                </c:pt>
                <c:pt idx="6">
                  <c:v>93.82</c:v>
                </c:pt>
                <c:pt idx="7">
                  <c:v>94.73</c:v>
                </c:pt>
                <c:pt idx="8">
                  <c:v>100.27</c:v>
                </c:pt>
                <c:pt idx="9">
                  <c:v>105.45</c:v>
                </c:pt>
                <c:pt idx="10">
                  <c:v>115.37</c:v>
                </c:pt>
                <c:pt idx="11">
                  <c:v>127.74</c:v>
                </c:pt>
                <c:pt idx="12">
                  <c:v>134.66</c:v>
                </c:pt>
                <c:pt idx="13">
                  <c:v>136.80000000000001</c:v>
                </c:pt>
                <c:pt idx="14">
                  <c:v>139.55000000000001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C-4E9C-9CB5-AB00C7DA0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46367"/>
        <c:axId val="1193146847"/>
      </c:scatterChart>
      <c:valAx>
        <c:axId val="11931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146847"/>
        <c:crosses val="autoZero"/>
        <c:crossBetween val="midCat"/>
      </c:valAx>
      <c:valAx>
        <c:axId val="119314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14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68</xdr:row>
      <xdr:rowOff>42862</xdr:rowOff>
    </xdr:from>
    <xdr:to>
      <xdr:col>14</xdr:col>
      <xdr:colOff>657225</xdr:colOff>
      <xdr:row>82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1E0966-543D-8707-110C-B8B5A14D7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466725</xdr:colOff>
      <xdr:row>18</xdr:row>
      <xdr:rowOff>80962</xdr:rowOff>
    </xdr:from>
    <xdr:to>
      <xdr:col>6</xdr:col>
      <xdr:colOff>466725</xdr:colOff>
      <xdr:row>32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1C5631-61FA-BE8C-1586-DECE575B1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18</xdr:row>
      <xdr:rowOff>61912</xdr:rowOff>
    </xdr:from>
    <xdr:to>
      <xdr:col>13</xdr:col>
      <xdr:colOff>323850</xdr:colOff>
      <xdr:row>32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0BEE00-679E-9110-F293-EF028CD64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52387</xdr:colOff>
      <xdr:row>18</xdr:row>
      <xdr:rowOff>138112</xdr:rowOff>
    </xdr:from>
    <xdr:to>
      <xdr:col>20</xdr:col>
      <xdr:colOff>52387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BD8878-E640-B318-4CB7-00CE140AA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728869</xdr:colOff>
      <xdr:row>26</xdr:row>
      <xdr:rowOff>11596</xdr:rowOff>
    </xdr:from>
    <xdr:to>
      <xdr:col>4</xdr:col>
      <xdr:colOff>331304</xdr:colOff>
      <xdr:row>40</xdr:row>
      <xdr:rowOff>87796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7E3E4B-E455-24A7-9D8D-CE892159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670891</xdr:colOff>
      <xdr:row>26</xdr:row>
      <xdr:rowOff>11596</xdr:rowOff>
    </xdr:from>
    <xdr:to>
      <xdr:col>10</xdr:col>
      <xdr:colOff>670891</xdr:colOff>
      <xdr:row>40</xdr:row>
      <xdr:rowOff>87796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81A467-9233-B5A7-5C37-5C8C8F4EB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82826</xdr:colOff>
      <xdr:row>25</xdr:row>
      <xdr:rowOff>177247</xdr:rowOff>
    </xdr:from>
    <xdr:to>
      <xdr:col>17</xdr:col>
      <xdr:colOff>82826</xdr:colOff>
      <xdr:row>40</xdr:row>
      <xdr:rowOff>62947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E57BCB-F862-DE93-2305-4596375DE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389283</xdr:colOff>
      <xdr:row>26</xdr:row>
      <xdr:rowOff>11596</xdr:rowOff>
    </xdr:from>
    <xdr:to>
      <xdr:col>23</xdr:col>
      <xdr:colOff>389283</xdr:colOff>
      <xdr:row>40</xdr:row>
      <xdr:rowOff>87796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A73FEA-D176-C9E3-49F1-900C3972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737153</xdr:colOff>
      <xdr:row>26</xdr:row>
      <xdr:rowOff>19879</xdr:rowOff>
    </xdr:from>
    <xdr:to>
      <xdr:col>29</xdr:col>
      <xdr:colOff>737153</xdr:colOff>
      <xdr:row>40</xdr:row>
      <xdr:rowOff>96079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7FC5BCF-3EB4-A10C-4A48-2AC875AA8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633412</xdr:colOff>
      <xdr:row>32</xdr:row>
      <xdr:rowOff>47624</xdr:rowOff>
    </xdr:from>
    <xdr:to>
      <xdr:col>18</xdr:col>
      <xdr:colOff>323850</xdr:colOff>
      <xdr:row>45</xdr:row>
      <xdr:rowOff>23811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7AC11B-0B0F-4996-A3AE-D75ACC69A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733425</xdr:colOff>
      <xdr:row>32</xdr:row>
      <xdr:rowOff>19049</xdr:rowOff>
    </xdr:from>
    <xdr:to>
      <xdr:col>25</xdr:col>
      <xdr:colOff>638175</xdr:colOff>
      <xdr:row>45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9D32F9-CF62-0997-E059-45C6C64CA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8</xdr:row>
      <xdr:rowOff>138112</xdr:rowOff>
    </xdr:from>
    <xdr:to>
      <xdr:col>14</xdr:col>
      <xdr:colOff>352425</xdr:colOff>
      <xdr:row>23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C4823E-B971-A141-EE85-BC78E2439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7</xdr:col>
      <xdr:colOff>685800</xdr:colOff>
      <xdr:row>70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77B709-971D-B88C-551F-22D6DAB2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2001500"/>
          <a:ext cx="14478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lan\OneDrive\Desktop\Calculos%20ECO,%20hasta%20desde%202020.xlsx" TargetMode="External"/><Relationship Id="rId1" Type="http://schemas.openxmlformats.org/officeDocument/2006/relationships/externalLinkPath" Target="Calculos%20ECO,%20hasta%20des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96">
          <cell r="I96">
            <v>1</v>
          </cell>
          <cell r="J96">
            <v>252.1632027293052</v>
          </cell>
        </row>
        <row r="97">
          <cell r="I97">
            <v>2</v>
          </cell>
          <cell r="J97">
            <v>570.68554797411991</v>
          </cell>
        </row>
        <row r="98">
          <cell r="I98">
            <v>3</v>
          </cell>
          <cell r="J98">
            <v>669.73231714984092</v>
          </cell>
        </row>
        <row r="99">
          <cell r="I99">
            <v>4</v>
          </cell>
          <cell r="J99">
            <v>797.07046908475775</v>
          </cell>
        </row>
        <row r="100">
          <cell r="I100">
            <v>5</v>
          </cell>
          <cell r="J100">
            <v>905.26654218311364</v>
          </cell>
        </row>
        <row r="101">
          <cell r="I101">
            <v>6</v>
          </cell>
          <cell r="J101">
            <v>1107.3071785371305</v>
          </cell>
        </row>
        <row r="102">
          <cell r="I102">
            <v>7</v>
          </cell>
          <cell r="J102">
            <v>1108.2660617507192</v>
          </cell>
        </row>
        <row r="103">
          <cell r="I103">
            <v>8</v>
          </cell>
          <cell r="J103">
            <v>1193.9596368066186</v>
          </cell>
        </row>
        <row r="104">
          <cell r="I104">
            <v>9</v>
          </cell>
          <cell r="J104">
            <v>1412.1872606605109</v>
          </cell>
        </row>
        <row r="105">
          <cell r="I105">
            <v>10</v>
          </cell>
          <cell r="J105">
            <v>1538.6742155278691</v>
          </cell>
        </row>
        <row r="106">
          <cell r="I106">
            <v>11</v>
          </cell>
          <cell r="J106">
            <v>1730.2728951223178</v>
          </cell>
        </row>
        <row r="107">
          <cell r="I107">
            <v>12</v>
          </cell>
          <cell r="J107">
            <v>1923.2817627140519</v>
          </cell>
        </row>
        <row r="108">
          <cell r="I108">
            <v>13</v>
          </cell>
          <cell r="J108">
            <v>2087.185303847546</v>
          </cell>
        </row>
        <row r="109">
          <cell r="I109">
            <v>14</v>
          </cell>
          <cell r="J109">
            <v>2248.0758053275558</v>
          </cell>
        </row>
        <row r="110">
          <cell r="I110">
            <v>15</v>
          </cell>
          <cell r="J110">
            <v>2437.6355819139667</v>
          </cell>
        </row>
        <row r="111">
          <cell r="I111">
            <v>16</v>
          </cell>
          <cell r="J111">
            <v>2347.3153945260569</v>
          </cell>
        </row>
        <row r="112">
          <cell r="I112">
            <v>17</v>
          </cell>
          <cell r="J112">
            <v>2344.4072560906679</v>
          </cell>
        </row>
        <row r="113">
          <cell r="I113">
            <v>18</v>
          </cell>
          <cell r="J113">
            <v>2429.6325415393558</v>
          </cell>
        </row>
        <row r="114">
          <cell r="I114">
            <v>19</v>
          </cell>
          <cell r="J114">
            <v>2567.002</v>
          </cell>
        </row>
        <row r="115">
          <cell r="I115">
            <v>20</v>
          </cell>
          <cell r="J115">
            <v>2485.971</v>
          </cell>
        </row>
        <row r="116">
          <cell r="I116">
            <v>21</v>
          </cell>
          <cell r="J116">
            <v>2310.192</v>
          </cell>
        </row>
        <row r="117">
          <cell r="I117">
            <v>22</v>
          </cell>
          <cell r="J117">
            <v>2310.1120000000001</v>
          </cell>
        </row>
        <row r="118">
          <cell r="I118">
            <v>23</v>
          </cell>
          <cell r="J118">
            <v>2483.2919999999999</v>
          </cell>
        </row>
        <row r="119">
          <cell r="I119">
            <v>24</v>
          </cell>
          <cell r="J119">
            <v>2469.6010000000001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ublicadministration.un.org/egovkb/en-us/Data/Country-Information/id/52-Ecuador/dataYear/202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ecuadorencifras.gob.ec/documentos/web-inec/Estadisticas_Sociales/TIC/2024/202407_Tecnologia_de_la_Informacion_y_Comunicacion-TICs.pdf" TargetMode="External"/><Relationship Id="rId1" Type="http://schemas.openxmlformats.org/officeDocument/2006/relationships/hyperlink" Target="https://www.ecuadorencifras.gob.ec/tecnologias-de-la-informacion-y-comunicacion-tic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ido.bce.fin.ec/documentos/informacioneconomica/cuentasnacionales/ix_cuentasnacionalesanuales.html" TargetMode="External"/><Relationship Id="rId2" Type="http://schemas.openxmlformats.org/officeDocument/2006/relationships/hyperlink" Target="https://contenido.bce.fin.ec/documentos/informacioneconomica/SectorExterno/ix_InversionExtranjeraDirecta.html" TargetMode="External"/><Relationship Id="rId1" Type="http://schemas.openxmlformats.org/officeDocument/2006/relationships/hyperlink" Target="https://contenido.bce.fin.ec/documentos/informacioneconomica/SectorExterno/ix_BalanzaPagos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ido.bce.fin.ec/documentos/Administracion/snp-DEAMP2024.pdf" TargetMode="External"/><Relationship Id="rId2" Type="http://schemas.openxmlformats.org/officeDocument/2006/relationships/hyperlink" Target="https://www.oecd.org/content/dam/oecd/en/publications/reports/2008/08/handbook-on-constructing-composite-indicators-methodology-and-user-guide_g1gh9301/9789264043466-en.pdf" TargetMode="External"/><Relationship Id="rId1" Type="http://schemas.openxmlformats.org/officeDocument/2006/relationships/hyperlink" Target="https://www.superbancos.gob.ec/estadisticas/portalestudios/servicios-financieros/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www.uaeh.edu.mx/docencia/VI_Lectura/licenciatura/documentos/LEC4.pdf" TargetMode="External"/><Relationship Id="rId4" Type="http://schemas.openxmlformats.org/officeDocument/2006/relationships/hyperlink" Target="https://contenido.bce.fin.ec/documentos/informacioneconomica/MediosPago/ix_MediosPagoPr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41B8-6A60-4E61-9EB5-46A270C954D8}">
  <sheetPr>
    <tabColor theme="9"/>
  </sheetPr>
  <dimension ref="C3:S90"/>
  <sheetViews>
    <sheetView topLeftCell="B1" zoomScaleNormal="100" workbookViewId="0">
      <selection activeCell="K52" sqref="K52"/>
    </sheetView>
  </sheetViews>
  <sheetFormatPr baseColWidth="10" defaultRowHeight="15" x14ac:dyDescent="0.25"/>
  <cols>
    <col min="7" max="7" width="12.85546875" customWidth="1"/>
  </cols>
  <sheetData>
    <row r="3" spans="3:13" ht="14.25" customHeight="1" x14ac:dyDescent="0.25">
      <c r="C3" s="47" t="s">
        <v>0</v>
      </c>
      <c r="D3" s="47" t="s">
        <v>1</v>
      </c>
      <c r="E3" s="1"/>
      <c r="H3" s="47" t="s">
        <v>0</v>
      </c>
      <c r="I3" s="47" t="s">
        <v>2</v>
      </c>
      <c r="L3" s="47" t="s">
        <v>0</v>
      </c>
      <c r="M3" s="47" t="s">
        <v>3</v>
      </c>
    </row>
    <row r="4" spans="3:13" x14ac:dyDescent="0.25">
      <c r="C4" s="1">
        <v>2008</v>
      </c>
      <c r="D4" s="1">
        <v>0.44479999999999997</v>
      </c>
      <c r="E4" s="1"/>
      <c r="H4" s="1">
        <v>2008</v>
      </c>
      <c r="I4" s="1">
        <v>0.85660000000000003</v>
      </c>
      <c r="L4" s="1">
        <v>2008</v>
      </c>
      <c r="M4" s="1">
        <v>0.15190000000000001</v>
      </c>
    </row>
    <row r="5" spans="3:13" x14ac:dyDescent="0.25">
      <c r="C5" s="1">
        <v>2010</v>
      </c>
      <c r="D5" s="1">
        <v>0.3175</v>
      </c>
      <c r="E5" s="1"/>
      <c r="H5" s="1">
        <v>2010</v>
      </c>
      <c r="I5" s="1">
        <v>0.82310000000000005</v>
      </c>
      <c r="L5" s="1">
        <v>2010</v>
      </c>
      <c r="M5" s="1">
        <v>0.1595</v>
      </c>
    </row>
    <row r="6" spans="3:13" x14ac:dyDescent="0.25">
      <c r="C6" s="1">
        <v>2012</v>
      </c>
      <c r="D6" s="1">
        <v>0.45750000000000002</v>
      </c>
      <c r="E6" s="1"/>
      <c r="H6" s="1">
        <v>2012</v>
      </c>
      <c r="I6" s="1">
        <v>0.75490000000000002</v>
      </c>
      <c r="L6" s="1">
        <v>2012</v>
      </c>
      <c r="M6" s="1">
        <v>0.2482</v>
      </c>
    </row>
    <row r="7" spans="3:13" x14ac:dyDescent="0.25">
      <c r="C7" s="1">
        <v>2014</v>
      </c>
      <c r="D7" s="1">
        <v>0.4803</v>
      </c>
      <c r="E7" s="1"/>
      <c r="H7" s="1">
        <v>2014</v>
      </c>
      <c r="I7" s="1">
        <v>0.70369999999999999</v>
      </c>
      <c r="L7" s="1">
        <v>2014</v>
      </c>
      <c r="M7" s="1">
        <v>0.33179999999999998</v>
      </c>
    </row>
    <row r="8" spans="3:13" x14ac:dyDescent="0.25">
      <c r="C8" s="1">
        <v>2016</v>
      </c>
      <c r="D8" s="1">
        <v>0.63039999999999996</v>
      </c>
      <c r="E8" s="1"/>
      <c r="H8" s="1">
        <v>2016</v>
      </c>
      <c r="I8" s="1">
        <v>0.71340000000000003</v>
      </c>
      <c r="L8" s="1">
        <v>2016</v>
      </c>
      <c r="M8" s="1">
        <v>0.34379999999999999</v>
      </c>
    </row>
    <row r="9" spans="3:13" x14ac:dyDescent="0.25">
      <c r="C9" s="1">
        <v>2018</v>
      </c>
      <c r="D9" s="1">
        <v>0.72919999999999996</v>
      </c>
      <c r="E9" s="1"/>
      <c r="H9" s="1">
        <v>2018</v>
      </c>
      <c r="I9" s="1">
        <v>0.73950000000000005</v>
      </c>
      <c r="L9" s="1">
        <v>2018</v>
      </c>
      <c r="M9" s="1">
        <v>0.36990000000000001</v>
      </c>
    </row>
    <row r="10" spans="3:13" x14ac:dyDescent="0.25">
      <c r="C10" s="1">
        <v>2020</v>
      </c>
      <c r="D10" s="1">
        <v>0.81179999999999997</v>
      </c>
      <c r="E10" s="1"/>
      <c r="H10" s="1">
        <v>2020</v>
      </c>
      <c r="I10" s="1">
        <v>0.77929999999999999</v>
      </c>
      <c r="L10" s="1">
        <v>2020</v>
      </c>
      <c r="M10" s="1">
        <v>0.51329999999999998</v>
      </c>
    </row>
    <row r="11" spans="3:13" x14ac:dyDescent="0.25">
      <c r="C11" s="1">
        <v>2021</v>
      </c>
      <c r="D11" s="1">
        <f>(0.0677*(7.5))+0.2751</f>
        <v>0.78284999999999993</v>
      </c>
      <c r="E11" s="1"/>
      <c r="H11" s="1">
        <v>2021</v>
      </c>
      <c r="I11" s="1">
        <v>0.75140000000000007</v>
      </c>
      <c r="L11" s="1">
        <v>2021</v>
      </c>
      <c r="M11" s="1">
        <f>((0.0633*(7.5))+0.0535)</f>
        <v>0.52825</v>
      </c>
    </row>
    <row r="12" spans="3:13" x14ac:dyDescent="0.25">
      <c r="C12" s="1">
        <v>2022</v>
      </c>
      <c r="D12" s="1">
        <v>0.7651</v>
      </c>
      <c r="E12" s="1"/>
      <c r="H12" s="1">
        <v>2022</v>
      </c>
      <c r="I12" s="1">
        <v>0.77480000000000004</v>
      </c>
      <c r="L12" s="1">
        <v>2022</v>
      </c>
      <c r="M12" s="1">
        <v>0.52690000000000003</v>
      </c>
    </row>
    <row r="13" spans="3:13" x14ac:dyDescent="0.25">
      <c r="C13" s="1">
        <v>2023</v>
      </c>
      <c r="D13" s="1">
        <f>(0.0677*(8.5))+0.2751</f>
        <v>0.85055000000000003</v>
      </c>
      <c r="E13" s="1"/>
      <c r="H13" s="1">
        <v>2023</v>
      </c>
      <c r="I13" s="1">
        <f>((0.0062*(8.5^2))-(0.0683*(8.5))+0.9149)</f>
        <v>0.7823</v>
      </c>
      <c r="L13" s="1">
        <v>2023</v>
      </c>
      <c r="M13" s="1">
        <f>((0.0633*(8.5))+0.0535)</f>
        <v>0.59154999999999991</v>
      </c>
    </row>
    <row r="14" spans="3:13" x14ac:dyDescent="0.25">
      <c r="C14" s="1">
        <v>2024</v>
      </c>
      <c r="D14" s="1">
        <v>0.8851</v>
      </c>
      <c r="E14" s="1"/>
      <c r="H14" s="1">
        <v>2024</v>
      </c>
      <c r="I14" s="1">
        <v>0.77149999999999996</v>
      </c>
      <c r="J14" s="1"/>
      <c r="K14" s="1"/>
      <c r="L14" s="1">
        <v>2024</v>
      </c>
      <c r="M14" s="1">
        <v>0.68340000000000001</v>
      </c>
    </row>
    <row r="15" spans="3:13" x14ac:dyDescent="0.25">
      <c r="C15" s="1">
        <v>2025</v>
      </c>
      <c r="D15" s="1">
        <f>(0.0677*(9.5))+0.2751</f>
        <v>0.91825000000000001</v>
      </c>
      <c r="E15" s="1"/>
      <c r="F15" s="1"/>
      <c r="G15" s="1"/>
      <c r="H15" s="1">
        <v>2025</v>
      </c>
      <c r="I15" s="1">
        <f>((0.0062*(9.5^2))-(0.0683*(9.5))+0.9149)</f>
        <v>0.8256</v>
      </c>
      <c r="J15" s="1"/>
      <c r="L15" s="1">
        <v>2025</v>
      </c>
      <c r="M15" s="1">
        <f>((0.0633*(9.5))+0.0535)</f>
        <v>0.65484999999999993</v>
      </c>
    </row>
    <row r="16" spans="3:13" x14ac:dyDescent="0.25">
      <c r="C16" s="1"/>
      <c r="D16" s="1"/>
      <c r="E16" s="1"/>
      <c r="F16" s="1"/>
      <c r="G16" s="1"/>
      <c r="H16" s="1"/>
      <c r="I16" s="1"/>
      <c r="J16" s="1"/>
    </row>
    <row r="17" spans="3:10" x14ac:dyDescent="0.25">
      <c r="C17" s="1"/>
      <c r="D17" s="1"/>
      <c r="E17" s="1"/>
      <c r="F17" s="1"/>
      <c r="G17" s="1"/>
      <c r="H17" s="1"/>
      <c r="I17" s="1"/>
      <c r="J17" s="1"/>
    </row>
    <row r="18" spans="3:10" x14ac:dyDescent="0.25">
      <c r="C18" s="1"/>
      <c r="D18" s="1"/>
      <c r="E18" s="1"/>
      <c r="F18" s="1"/>
      <c r="G18" s="1"/>
      <c r="H18" s="1"/>
      <c r="I18" s="1"/>
      <c r="J18" s="1"/>
    </row>
    <row r="19" spans="3:10" x14ac:dyDescent="0.25">
      <c r="C19" s="1"/>
      <c r="D19" s="1"/>
      <c r="E19" s="1"/>
      <c r="F19" s="1"/>
      <c r="G19" s="1"/>
      <c r="H19" s="1"/>
      <c r="I19" s="1"/>
      <c r="J19" s="1"/>
    </row>
    <row r="20" spans="3:10" x14ac:dyDescent="0.25">
      <c r="C20" s="1"/>
      <c r="D20" s="1"/>
      <c r="E20" s="1"/>
      <c r="F20" s="1"/>
      <c r="G20" s="1"/>
      <c r="H20" s="1"/>
      <c r="I20" s="1"/>
      <c r="J20" s="1"/>
    </row>
    <row r="21" spans="3:10" x14ac:dyDescent="0.25">
      <c r="C21" s="1"/>
      <c r="D21" s="1"/>
      <c r="E21" s="1"/>
      <c r="F21" s="1"/>
      <c r="G21" s="1"/>
      <c r="H21" s="1"/>
      <c r="I21" s="1"/>
      <c r="J21" s="1"/>
    </row>
    <row r="22" spans="3:10" x14ac:dyDescent="0.25">
      <c r="C22" s="1"/>
      <c r="D22" s="1"/>
      <c r="E22" s="1"/>
      <c r="F22" s="1"/>
      <c r="G22" s="1"/>
      <c r="H22" s="1"/>
      <c r="I22" s="1"/>
      <c r="J22" s="1"/>
    </row>
    <row r="23" spans="3:10" x14ac:dyDescent="0.25">
      <c r="C23" s="1"/>
      <c r="D23" s="1"/>
      <c r="E23" s="1"/>
      <c r="F23" s="1"/>
      <c r="G23" s="1"/>
      <c r="H23" s="1"/>
      <c r="I23" s="1"/>
      <c r="J23" s="1"/>
    </row>
    <row r="24" spans="3:10" x14ac:dyDescent="0.25">
      <c r="C24" s="1"/>
      <c r="D24" s="1"/>
      <c r="E24" s="1"/>
      <c r="F24" s="1"/>
      <c r="G24" s="1"/>
      <c r="H24" s="1"/>
      <c r="I24" s="1"/>
      <c r="J24" s="1"/>
    </row>
    <row r="25" spans="3:10" x14ac:dyDescent="0.25">
      <c r="C25" s="1"/>
      <c r="D25" s="1"/>
      <c r="E25" s="1"/>
      <c r="F25" s="1"/>
      <c r="G25" s="1"/>
      <c r="H25" s="1"/>
      <c r="I25" s="1"/>
      <c r="J25" s="1"/>
    </row>
    <row r="26" spans="3:10" x14ac:dyDescent="0.25">
      <c r="C26" s="1"/>
      <c r="D26" s="1"/>
      <c r="E26" s="1"/>
      <c r="F26" s="1"/>
      <c r="G26" s="1"/>
      <c r="H26" s="1"/>
      <c r="I26" s="1"/>
      <c r="J26" s="1"/>
    </row>
    <row r="27" spans="3:10" x14ac:dyDescent="0.25">
      <c r="C27" s="1"/>
      <c r="D27" s="1"/>
      <c r="E27" s="1"/>
      <c r="F27" s="1"/>
      <c r="G27" s="1"/>
      <c r="H27" s="1"/>
      <c r="I27" s="1"/>
      <c r="J27" s="1"/>
    </row>
    <row r="28" spans="3:10" x14ac:dyDescent="0.25">
      <c r="C28" s="1"/>
      <c r="D28" s="1"/>
      <c r="E28" s="1"/>
      <c r="F28" s="1"/>
      <c r="G28" s="1"/>
      <c r="H28" s="1"/>
      <c r="I28" s="1"/>
      <c r="J28" s="1"/>
    </row>
    <row r="29" spans="3:10" x14ac:dyDescent="0.25">
      <c r="C29" s="1"/>
      <c r="D29" s="1"/>
      <c r="E29" s="1"/>
      <c r="F29" s="1"/>
      <c r="G29" s="1"/>
      <c r="H29" s="1"/>
      <c r="I29" s="1"/>
      <c r="J29" s="1"/>
    </row>
    <row r="30" spans="3:10" x14ac:dyDescent="0.25">
      <c r="C30" s="1"/>
      <c r="D30" s="1"/>
      <c r="E30" s="1"/>
      <c r="F30" s="1"/>
      <c r="G30" s="1"/>
      <c r="H30" s="1"/>
      <c r="I30" s="1"/>
      <c r="J30" s="1"/>
    </row>
    <row r="31" spans="3:10" x14ac:dyDescent="0.25">
      <c r="C31" s="1"/>
      <c r="D31" s="1"/>
      <c r="E31" s="1"/>
      <c r="F31" s="1"/>
      <c r="G31" s="1"/>
      <c r="H31" s="1"/>
      <c r="I31" s="1"/>
      <c r="J31" s="1"/>
    </row>
    <row r="32" spans="3:10" x14ac:dyDescent="0.25">
      <c r="C32" s="1"/>
      <c r="D32" s="1"/>
      <c r="E32" s="1"/>
      <c r="F32" s="1"/>
      <c r="G32" s="1"/>
      <c r="H32" s="1"/>
      <c r="I32" s="1"/>
      <c r="J32" s="1"/>
    </row>
    <row r="33" spans="3:19" x14ac:dyDescent="0.25">
      <c r="C33" s="1"/>
      <c r="D33" s="1"/>
      <c r="E33" s="1"/>
      <c r="F33" s="1"/>
      <c r="G33" s="1"/>
      <c r="H33" s="1"/>
      <c r="I33" s="1"/>
      <c r="J33" s="1"/>
    </row>
    <row r="34" spans="3:19" x14ac:dyDescent="0.25">
      <c r="C34" s="1"/>
      <c r="D34" s="1"/>
      <c r="E34" s="1"/>
      <c r="F34" s="1"/>
      <c r="G34" s="1"/>
      <c r="H34" s="1"/>
      <c r="I34" s="1"/>
      <c r="J34" s="1"/>
    </row>
    <row r="35" spans="3:19" x14ac:dyDescent="0.25">
      <c r="C35" s="23" t="s">
        <v>70</v>
      </c>
      <c r="D35" s="55" t="s">
        <v>111</v>
      </c>
      <c r="E35" s="55"/>
      <c r="F35" s="1"/>
      <c r="G35" s="1"/>
      <c r="H35" s="1"/>
      <c r="I35" s="1"/>
      <c r="J35" s="23" t="s">
        <v>70</v>
      </c>
      <c r="K35" s="55" t="s">
        <v>115</v>
      </c>
      <c r="L35" s="55"/>
      <c r="M35" s="55"/>
      <c r="P35" s="23" t="s">
        <v>70</v>
      </c>
      <c r="Q35" s="55" t="s">
        <v>118</v>
      </c>
      <c r="R35" s="55"/>
      <c r="S35" s="55"/>
    </row>
    <row r="36" spans="3:19" x14ac:dyDescent="0.25">
      <c r="C36" s="23" t="s">
        <v>70</v>
      </c>
      <c r="D36" s="55" t="s">
        <v>113</v>
      </c>
      <c r="E36" s="55"/>
      <c r="F36" s="1"/>
      <c r="G36" s="1"/>
      <c r="H36" s="1"/>
      <c r="I36" s="1"/>
      <c r="J36" s="23" t="s">
        <v>70</v>
      </c>
      <c r="K36" s="55" t="s">
        <v>116</v>
      </c>
      <c r="L36" s="55"/>
      <c r="M36" s="55"/>
      <c r="P36" s="23" t="s">
        <v>70</v>
      </c>
      <c r="Q36" s="55" t="s">
        <v>119</v>
      </c>
      <c r="R36" s="55"/>
      <c r="S36" s="55"/>
    </row>
    <row r="37" spans="3:19" x14ac:dyDescent="0.25">
      <c r="C37" s="23" t="s">
        <v>112</v>
      </c>
      <c r="D37" s="1">
        <f>(0.0677*(8.5))+0.2751</f>
        <v>0.85055000000000003</v>
      </c>
      <c r="E37" s="1"/>
      <c r="F37" s="1"/>
      <c r="G37" s="1"/>
      <c r="H37" s="1"/>
      <c r="I37" s="1"/>
      <c r="J37" s="23" t="s">
        <v>112</v>
      </c>
      <c r="K37" s="1">
        <f>((0.0062*(8.5^2))-(0.0683*(8.5))+0.9149)</f>
        <v>0.7823</v>
      </c>
      <c r="L37" s="1"/>
      <c r="P37" s="23" t="s">
        <v>112</v>
      </c>
      <c r="Q37">
        <f>((0.0633*(8.5))+0.0535)</f>
        <v>0.59154999999999991</v>
      </c>
    </row>
    <row r="38" spans="3:19" x14ac:dyDescent="0.25">
      <c r="C38" s="1"/>
      <c r="D38" s="1"/>
      <c r="E38" s="1"/>
      <c r="F38" s="1"/>
      <c r="G38" s="1"/>
      <c r="H38" s="1"/>
      <c r="I38" s="1"/>
      <c r="J38" s="1"/>
    </row>
    <row r="39" spans="3:19" x14ac:dyDescent="0.25">
      <c r="C39" s="23" t="s">
        <v>70</v>
      </c>
      <c r="D39" s="55" t="s">
        <v>114</v>
      </c>
      <c r="E39" s="55"/>
      <c r="F39" s="1"/>
      <c r="G39" s="1"/>
      <c r="H39" s="1"/>
      <c r="I39" s="1"/>
      <c r="J39" s="23" t="s">
        <v>70</v>
      </c>
      <c r="K39" s="55" t="s">
        <v>117</v>
      </c>
      <c r="L39" s="55"/>
      <c r="M39" s="55"/>
      <c r="P39" s="23" t="s">
        <v>70</v>
      </c>
      <c r="Q39" s="55" t="s">
        <v>120</v>
      </c>
      <c r="R39" s="55"/>
      <c r="S39" s="55"/>
    </row>
    <row r="40" spans="3:19" x14ac:dyDescent="0.25">
      <c r="C40" s="23" t="s">
        <v>104</v>
      </c>
      <c r="D40" s="1">
        <f>(0.0677*(9.5))+0.2751</f>
        <v>0.91825000000000001</v>
      </c>
      <c r="E40" s="1"/>
      <c r="F40" s="1"/>
      <c r="G40" s="1"/>
      <c r="H40" s="1"/>
      <c r="I40" s="1"/>
      <c r="J40" s="23" t="s">
        <v>104</v>
      </c>
      <c r="K40">
        <f>((0.0062*(9.5^2))-(0.0683*(9.5))+0.9149)</f>
        <v>0.8256</v>
      </c>
      <c r="P40" s="23" t="s">
        <v>104</v>
      </c>
      <c r="Q40">
        <f>((0.0633*(9.5))+0.0535)</f>
        <v>0.65484999999999993</v>
      </c>
    </row>
    <row r="41" spans="3:19" x14ac:dyDescent="0.25">
      <c r="C41" s="1"/>
      <c r="D41" s="1"/>
      <c r="E41" s="1"/>
      <c r="F41" s="1"/>
      <c r="G41" s="1"/>
      <c r="H41" s="1"/>
      <c r="I41" s="1"/>
      <c r="J41" s="1"/>
    </row>
    <row r="42" spans="3:19" x14ac:dyDescent="0.25">
      <c r="C42" s="23" t="s">
        <v>70</v>
      </c>
      <c r="D42" s="55" t="s">
        <v>124</v>
      </c>
      <c r="E42" s="55"/>
      <c r="F42" s="1"/>
      <c r="G42" s="1"/>
      <c r="H42" s="1"/>
      <c r="I42" s="1"/>
      <c r="J42" s="23" t="s">
        <v>70</v>
      </c>
      <c r="K42" s="55" t="s">
        <v>125</v>
      </c>
      <c r="L42" s="55"/>
      <c r="M42" s="55"/>
      <c r="P42" s="23" t="s">
        <v>70</v>
      </c>
      <c r="Q42" s="55" t="s">
        <v>126</v>
      </c>
      <c r="R42" s="55"/>
      <c r="S42" s="55"/>
    </row>
    <row r="43" spans="3:19" x14ac:dyDescent="0.25">
      <c r="C43" s="23" t="s">
        <v>123</v>
      </c>
      <c r="D43" s="1">
        <f>(0.0677*(7.5))+0.2751</f>
        <v>0.78284999999999993</v>
      </c>
      <c r="E43" s="1"/>
      <c r="F43" s="1"/>
      <c r="G43" s="1"/>
      <c r="H43" s="1"/>
      <c r="I43" s="1"/>
      <c r="J43" s="23" t="s">
        <v>123</v>
      </c>
      <c r="K43">
        <f>((0.0062*(7.5^2))-(0.0683*(7.5))+0.9149)</f>
        <v>0.75140000000000007</v>
      </c>
      <c r="P43" s="23" t="s">
        <v>123</v>
      </c>
      <c r="Q43">
        <f>((0.0633*(7.5))+0.0535)</f>
        <v>0.52825</v>
      </c>
    </row>
    <row r="44" spans="3:19" x14ac:dyDescent="0.25">
      <c r="C44" s="1"/>
      <c r="D44" s="1"/>
      <c r="E44" s="1"/>
      <c r="F44" s="1"/>
      <c r="G44" s="1"/>
      <c r="H44" s="1"/>
      <c r="I44" s="1"/>
      <c r="J44" s="1"/>
    </row>
    <row r="45" spans="3:19" x14ac:dyDescent="0.25">
      <c r="C45" s="1"/>
      <c r="D45" s="1"/>
      <c r="E45" s="1"/>
      <c r="F45" s="1"/>
      <c r="G45" s="1"/>
      <c r="H45" s="1"/>
      <c r="I45" s="1"/>
      <c r="J45" s="1"/>
    </row>
    <row r="46" spans="3:19" x14ac:dyDescent="0.25">
      <c r="C46" s="1"/>
      <c r="D46" s="1"/>
      <c r="E46" s="1"/>
      <c r="F46" s="1"/>
      <c r="G46" s="1"/>
      <c r="H46" s="1"/>
      <c r="I46" s="1"/>
      <c r="J46" s="1"/>
    </row>
    <row r="47" spans="3:19" x14ac:dyDescent="0.25">
      <c r="C47" s="1"/>
      <c r="D47" s="1"/>
      <c r="E47" s="1"/>
      <c r="F47" s="1"/>
      <c r="G47" s="1"/>
      <c r="H47" s="48" t="s">
        <v>75</v>
      </c>
      <c r="I47" s="48" t="s">
        <v>121</v>
      </c>
      <c r="J47" s="1"/>
    </row>
    <row r="48" spans="3:19" x14ac:dyDescent="0.25">
      <c r="C48" s="1"/>
      <c r="D48" s="1"/>
      <c r="E48" s="1"/>
      <c r="F48" s="1"/>
      <c r="G48" s="1"/>
      <c r="H48" s="1">
        <v>2020</v>
      </c>
      <c r="I48" s="1">
        <f>(D10+I10+M10)/3</f>
        <v>0.70146666666666668</v>
      </c>
      <c r="J48" s="1"/>
    </row>
    <row r="49" spans="3:10" x14ac:dyDescent="0.25">
      <c r="C49" s="1"/>
      <c r="D49" s="1"/>
      <c r="E49" s="1"/>
      <c r="F49" s="1"/>
      <c r="G49" s="1"/>
      <c r="H49" s="1">
        <v>2021</v>
      </c>
      <c r="I49" s="1">
        <f>(D43+K43+Q43)/3</f>
        <v>0.6875</v>
      </c>
      <c r="J49" s="1"/>
    </row>
    <row r="50" spans="3:10" x14ac:dyDescent="0.25">
      <c r="C50" s="1"/>
      <c r="D50" s="1"/>
      <c r="E50" s="1"/>
      <c r="F50" s="1"/>
      <c r="G50" s="1"/>
      <c r="H50" s="1">
        <v>2022</v>
      </c>
      <c r="I50" s="1">
        <v>0.6889333333333334</v>
      </c>
      <c r="J50" s="1"/>
    </row>
    <row r="51" spans="3:10" x14ac:dyDescent="0.25">
      <c r="C51" s="1"/>
      <c r="D51" s="1"/>
      <c r="E51" s="1"/>
      <c r="F51" s="1"/>
      <c r="G51" s="1"/>
      <c r="H51" s="1">
        <v>2023</v>
      </c>
      <c r="I51" s="1">
        <f>(D37+K37+Q37)/3</f>
        <v>0.74146666666666661</v>
      </c>
      <c r="J51" s="1"/>
    </row>
    <row r="52" spans="3:10" x14ac:dyDescent="0.25">
      <c r="C52" s="1"/>
      <c r="D52" s="1"/>
      <c r="E52" s="1"/>
      <c r="F52" s="1"/>
      <c r="G52" s="1"/>
      <c r="H52" s="1">
        <v>2024</v>
      </c>
      <c r="I52" s="1">
        <v>0.77999999999999992</v>
      </c>
      <c r="J52" s="1"/>
    </row>
    <row r="53" spans="3:10" x14ac:dyDescent="0.25">
      <c r="C53" s="1"/>
      <c r="D53" s="1"/>
      <c r="E53" s="1"/>
      <c r="F53" s="1"/>
      <c r="G53" s="1"/>
      <c r="H53" s="1">
        <v>2025</v>
      </c>
      <c r="I53" s="1">
        <f>(D40+K40+Q40)/3</f>
        <v>0.79956666666666665</v>
      </c>
      <c r="J53" s="1"/>
    </row>
    <row r="54" spans="3:10" x14ac:dyDescent="0.25">
      <c r="C54" s="1"/>
      <c r="D54" s="1"/>
      <c r="E54" s="1"/>
      <c r="F54" s="1"/>
      <c r="G54" s="1"/>
      <c r="H54" s="1"/>
      <c r="I54" s="1"/>
      <c r="J54" s="1"/>
    </row>
    <row r="57" spans="3:10" x14ac:dyDescent="0.25">
      <c r="E57" s="39" t="s">
        <v>0</v>
      </c>
      <c r="F57" s="39" t="s">
        <v>4</v>
      </c>
      <c r="I57" s="41" t="s">
        <v>32</v>
      </c>
      <c r="J57" s="41" t="s">
        <v>33</v>
      </c>
    </row>
    <row r="58" spans="3:10" x14ac:dyDescent="0.25">
      <c r="E58" s="15">
        <v>2008</v>
      </c>
      <c r="F58" s="40">
        <f t="shared" ref="F58:F64" si="0">(D4+I4+M4)/3</f>
        <v>0.48443333333333333</v>
      </c>
      <c r="I58" s="1">
        <v>1</v>
      </c>
      <c r="J58" s="42">
        <v>0.48443333333333333</v>
      </c>
    </row>
    <row r="59" spans="3:10" x14ac:dyDescent="0.25">
      <c r="E59" s="15">
        <v>2010</v>
      </c>
      <c r="F59" s="40">
        <f t="shared" si="0"/>
        <v>0.43336666666666668</v>
      </c>
      <c r="I59" s="1">
        <v>2</v>
      </c>
      <c r="J59" s="43">
        <v>0.43336666666666668</v>
      </c>
    </row>
    <row r="60" spans="3:10" x14ac:dyDescent="0.25">
      <c r="E60" s="15">
        <v>2012</v>
      </c>
      <c r="F60" s="40">
        <f t="shared" si="0"/>
        <v>0.48686666666666673</v>
      </c>
      <c r="I60" s="1">
        <v>3</v>
      </c>
      <c r="J60" s="43">
        <v>0.48686666666666673</v>
      </c>
    </row>
    <row r="61" spans="3:10" x14ac:dyDescent="0.25">
      <c r="E61" s="15">
        <v>2014</v>
      </c>
      <c r="F61" s="40">
        <f t="shared" si="0"/>
        <v>0.50526666666666664</v>
      </c>
      <c r="I61" s="1">
        <v>4</v>
      </c>
      <c r="J61" s="43">
        <v>0.50526666666666664</v>
      </c>
    </row>
    <row r="62" spans="3:10" x14ac:dyDescent="0.25">
      <c r="E62" s="15">
        <v>2016</v>
      </c>
      <c r="F62" s="40">
        <f t="shared" si="0"/>
        <v>0.56253333333333322</v>
      </c>
      <c r="I62" s="1">
        <v>5</v>
      </c>
      <c r="J62" s="43">
        <v>0.56253333333333322</v>
      </c>
    </row>
    <row r="63" spans="3:10" x14ac:dyDescent="0.25">
      <c r="E63" s="15">
        <v>2018</v>
      </c>
      <c r="F63" s="40">
        <f t="shared" si="0"/>
        <v>0.61286666666666667</v>
      </c>
      <c r="I63" s="1">
        <v>6</v>
      </c>
      <c r="J63" s="43">
        <v>0.61286666666666667</v>
      </c>
    </row>
    <row r="64" spans="3:10" x14ac:dyDescent="0.25">
      <c r="E64" s="15">
        <v>2020</v>
      </c>
      <c r="F64" s="40">
        <f t="shared" si="0"/>
        <v>0.70146666666666668</v>
      </c>
      <c r="I64" s="1">
        <v>7</v>
      </c>
      <c r="J64" s="43">
        <v>0.70146666666666668</v>
      </c>
    </row>
    <row r="65" spans="5:13" x14ac:dyDescent="0.25">
      <c r="E65" s="15">
        <v>2022</v>
      </c>
      <c r="F65" s="40">
        <f>(D12+I12+M12)/3</f>
        <v>0.6889333333333334</v>
      </c>
      <c r="I65" s="1">
        <v>8</v>
      </c>
      <c r="J65" s="43">
        <v>0.6889333333333334</v>
      </c>
    </row>
    <row r="66" spans="5:13" x14ac:dyDescent="0.25">
      <c r="E66" s="50">
        <v>2023</v>
      </c>
      <c r="F66" s="51">
        <f>L87</f>
        <v>0.72870000000000001</v>
      </c>
      <c r="I66" s="1">
        <v>9</v>
      </c>
      <c r="J66" s="43">
        <v>0.77999999999999992</v>
      </c>
    </row>
    <row r="67" spans="5:13" x14ac:dyDescent="0.25">
      <c r="E67" s="15">
        <v>2024</v>
      </c>
      <c r="F67" s="40">
        <f>(D14+I14+M14)/3</f>
        <v>0.77999999999999992</v>
      </c>
      <c r="I67" s="1">
        <v>9.5</v>
      </c>
      <c r="J67" s="43">
        <f>L90</f>
        <v>0.77010000000000001</v>
      </c>
      <c r="L67" t="s">
        <v>5</v>
      </c>
      <c r="M67" s="12" t="s">
        <v>6</v>
      </c>
    </row>
    <row r="68" spans="5:13" x14ac:dyDescent="0.25">
      <c r="E68" s="50">
        <v>2025</v>
      </c>
      <c r="F68" s="51">
        <f>L90</f>
        <v>0.77010000000000001</v>
      </c>
    </row>
    <row r="77" spans="5:13" x14ac:dyDescent="0.25">
      <c r="F77" s="38"/>
    </row>
    <row r="85" spans="11:12" x14ac:dyDescent="0.25">
      <c r="K85" s="23" t="s">
        <v>99</v>
      </c>
      <c r="L85" t="s">
        <v>100</v>
      </c>
    </row>
    <row r="86" spans="11:12" x14ac:dyDescent="0.25">
      <c r="K86" s="23" t="s">
        <v>103</v>
      </c>
      <c r="L86" t="s">
        <v>102</v>
      </c>
    </row>
    <row r="87" spans="11:12" x14ac:dyDescent="0.25">
      <c r="K87" s="23" t="s">
        <v>103</v>
      </c>
      <c r="L87" s="35">
        <f>0.0414*(8.5)+0.3768</f>
        <v>0.72870000000000001</v>
      </c>
    </row>
    <row r="88" spans="11:12" x14ac:dyDescent="0.25">
      <c r="K88" s="23"/>
    </row>
    <row r="89" spans="11:12" x14ac:dyDescent="0.25">
      <c r="K89" s="23" t="s">
        <v>104</v>
      </c>
      <c r="L89" t="s">
        <v>101</v>
      </c>
    </row>
    <row r="90" spans="11:12" x14ac:dyDescent="0.25">
      <c r="K90" s="23" t="s">
        <v>104</v>
      </c>
      <c r="L90" s="35">
        <f>0.0414*(9.5)+0.3768</f>
        <v>0.77010000000000001</v>
      </c>
    </row>
  </sheetData>
  <mergeCells count="12">
    <mergeCell ref="D42:E42"/>
    <mergeCell ref="K42:M42"/>
    <mergeCell ref="Q42:S42"/>
    <mergeCell ref="Q35:S35"/>
    <mergeCell ref="Q36:S36"/>
    <mergeCell ref="Q39:S39"/>
    <mergeCell ref="D36:E36"/>
    <mergeCell ref="D35:E35"/>
    <mergeCell ref="D39:E39"/>
    <mergeCell ref="K35:M35"/>
    <mergeCell ref="K36:M36"/>
    <mergeCell ref="K39:M39"/>
  </mergeCells>
  <hyperlinks>
    <hyperlink ref="M67" r:id="rId1" xr:uid="{B610673E-A0E5-45A1-AE30-ED0494E8DBB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86A3-16E4-4277-9E66-C212A233BF63}">
  <sheetPr>
    <tabColor theme="9"/>
  </sheetPr>
  <dimension ref="B2:AB52"/>
  <sheetViews>
    <sheetView topLeftCell="B1" zoomScale="115" zoomScaleNormal="115" workbookViewId="0">
      <selection activeCell="F9" sqref="F9"/>
    </sheetView>
  </sheetViews>
  <sheetFormatPr baseColWidth="10" defaultRowHeight="15" x14ac:dyDescent="0.25"/>
  <cols>
    <col min="2" max="2" width="40.28515625" bestFit="1" customWidth="1"/>
    <col min="5" max="5" width="11.42578125" customWidth="1"/>
  </cols>
  <sheetData>
    <row r="2" spans="2:11" x14ac:dyDescent="0.25">
      <c r="B2" s="57" t="s">
        <v>18</v>
      </c>
      <c r="C2" s="57"/>
      <c r="D2" s="1" t="s">
        <v>129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</row>
    <row r="3" spans="2:11" x14ac:dyDescent="0.25">
      <c r="B3" s="4" t="s">
        <v>8</v>
      </c>
      <c r="C3" s="3" t="s">
        <v>13</v>
      </c>
      <c r="D3" s="3" t="s">
        <v>13</v>
      </c>
      <c r="E3" s="1">
        <v>53.2</v>
      </c>
      <c r="F3" s="1">
        <v>56.3872</v>
      </c>
      <c r="G3" s="1">
        <v>60.4</v>
      </c>
      <c r="H3" s="1">
        <v>62.2</v>
      </c>
      <c r="I3" s="1">
        <v>66</v>
      </c>
      <c r="J3" s="10">
        <v>71.342500000000001</v>
      </c>
    </row>
    <row r="4" spans="2:11" x14ac:dyDescent="0.25">
      <c r="B4" s="4" t="s">
        <v>9</v>
      </c>
      <c r="C4" s="3" t="s">
        <v>14</v>
      </c>
      <c r="D4" s="3" t="s">
        <v>14</v>
      </c>
      <c r="E4" s="1">
        <v>70.7</v>
      </c>
      <c r="F4" s="1">
        <v>70.472200000000001</v>
      </c>
      <c r="G4" s="1">
        <v>69.7</v>
      </c>
      <c r="H4" s="1">
        <v>72.7</v>
      </c>
      <c r="I4" s="1">
        <v>77.2</v>
      </c>
      <c r="J4" s="10">
        <v>80.070700000000002</v>
      </c>
    </row>
    <row r="5" spans="2:11" ht="30" x14ac:dyDescent="0.25">
      <c r="B5" s="5" t="s">
        <v>10</v>
      </c>
      <c r="C5" s="3" t="s">
        <v>15</v>
      </c>
      <c r="D5" s="3" t="s">
        <v>15</v>
      </c>
      <c r="E5" s="1">
        <v>62.9</v>
      </c>
      <c r="F5" s="1">
        <v>57.635199999999998</v>
      </c>
      <c r="G5" s="1">
        <v>58.8</v>
      </c>
      <c r="H5" s="1">
        <v>59.6</v>
      </c>
      <c r="I5" s="1">
        <v>61.3</v>
      </c>
      <c r="J5" s="10">
        <v>61.928699999999999</v>
      </c>
    </row>
    <row r="6" spans="2:11" ht="30" x14ac:dyDescent="0.25">
      <c r="B6" s="5" t="s">
        <v>11</v>
      </c>
      <c r="C6" s="3" t="s">
        <v>16</v>
      </c>
      <c r="D6" s="3" t="s">
        <v>16</v>
      </c>
      <c r="E6" s="1">
        <v>51.5</v>
      </c>
      <c r="F6" s="1">
        <v>52.2346</v>
      </c>
      <c r="G6" s="1">
        <v>52.2</v>
      </c>
      <c r="H6" s="1">
        <v>55.6</v>
      </c>
      <c r="I6" s="1">
        <v>57.7</v>
      </c>
      <c r="J6" s="10">
        <v>59.333799999999997</v>
      </c>
    </row>
    <row r="7" spans="2:11" x14ac:dyDescent="0.25">
      <c r="B7" s="4" t="s">
        <v>20</v>
      </c>
      <c r="C7" s="3" t="s">
        <v>17</v>
      </c>
      <c r="D7" s="3" t="s">
        <v>17</v>
      </c>
      <c r="E7" s="6">
        <f>100-E8</f>
        <v>89.8</v>
      </c>
      <c r="F7" s="6">
        <v>90.566199999999995</v>
      </c>
      <c r="G7" s="6">
        <f>100-G8</f>
        <v>91.8</v>
      </c>
      <c r="H7" s="6">
        <f>100-H8</f>
        <v>92.4</v>
      </c>
      <c r="I7" s="6">
        <f>100-I8</f>
        <v>94.6</v>
      </c>
      <c r="J7" s="11">
        <f>100-J8</f>
        <v>97.865399999999994</v>
      </c>
    </row>
    <row r="8" spans="2:11" x14ac:dyDescent="0.25">
      <c r="B8" s="4" t="s">
        <v>12</v>
      </c>
      <c r="C8" s="3" t="s">
        <v>19</v>
      </c>
      <c r="D8" s="3" t="s">
        <v>19</v>
      </c>
      <c r="E8" s="1">
        <v>10.199999999999999</v>
      </c>
      <c r="G8" s="1">
        <v>8.1999999999999993</v>
      </c>
      <c r="H8" s="1">
        <v>7.6</v>
      </c>
      <c r="I8" s="1">
        <v>5.4</v>
      </c>
      <c r="J8" s="10">
        <v>2.1345999999999998</v>
      </c>
    </row>
    <row r="10" spans="2:11" x14ac:dyDescent="0.25">
      <c r="D10" s="1"/>
    </row>
    <row r="11" spans="2:11" x14ac:dyDescent="0.25">
      <c r="D11" s="9" t="s">
        <v>7</v>
      </c>
      <c r="E11" s="8">
        <f>(E3+E4+E5+E6+E7)/5</f>
        <v>65.62</v>
      </c>
      <c r="F11" s="8">
        <f>AVERAGE(F3:F7)</f>
        <v>65.45908</v>
      </c>
      <c r="G11" s="8">
        <f>(G3+G4+G5+G6+G7)/5</f>
        <v>66.58</v>
      </c>
      <c r="H11" s="8">
        <f>(H3+H4+H5+H6+H7)/5</f>
        <v>68.5</v>
      </c>
      <c r="I11" s="8">
        <f>(I3+I4+I5+I6+I7)/5</f>
        <v>71.359999999999985</v>
      </c>
      <c r="J11" s="8">
        <f>(J3+J4+J5+J6+J7)/5</f>
        <v>74.108220000000003</v>
      </c>
      <c r="K11" s="34" t="s">
        <v>94</v>
      </c>
    </row>
    <row r="14" spans="2:11" x14ac:dyDescent="0.25">
      <c r="D14" t="s">
        <v>21</v>
      </c>
      <c r="E14" s="12" t="s">
        <v>22</v>
      </c>
    </row>
    <row r="15" spans="2:11" x14ac:dyDescent="0.25">
      <c r="E15" s="12" t="s">
        <v>51</v>
      </c>
    </row>
    <row r="16" spans="2:11" x14ac:dyDescent="0.25">
      <c r="D16" t="s">
        <v>23</v>
      </c>
      <c r="E16" t="s">
        <v>24</v>
      </c>
    </row>
    <row r="18" spans="3:25" x14ac:dyDescent="0.25">
      <c r="C18" s="56" t="s">
        <v>13</v>
      </c>
      <c r="D18" s="56"/>
      <c r="G18" s="1"/>
      <c r="H18" s="56" t="s">
        <v>14</v>
      </c>
      <c r="I18" s="56"/>
      <c r="M18" s="56" t="s">
        <v>15</v>
      </c>
      <c r="N18" s="56"/>
      <c r="R18" s="56" t="s">
        <v>16</v>
      </c>
      <c r="S18" s="56"/>
      <c r="W18" s="56" t="s">
        <v>17</v>
      </c>
      <c r="X18" s="56"/>
    </row>
    <row r="19" spans="3:25" x14ac:dyDescent="0.25">
      <c r="C19" s="1" t="s">
        <v>32</v>
      </c>
      <c r="D19" s="1" t="s">
        <v>33</v>
      </c>
      <c r="G19" s="1"/>
      <c r="H19" s="1" t="s">
        <v>32</v>
      </c>
      <c r="I19" s="1" t="s">
        <v>33</v>
      </c>
      <c r="M19" s="1" t="s">
        <v>32</v>
      </c>
      <c r="N19" s="1" t="s">
        <v>33</v>
      </c>
      <c r="R19" s="1" t="s">
        <v>32</v>
      </c>
      <c r="S19" s="1" t="s">
        <v>33</v>
      </c>
      <c r="W19" s="1" t="s">
        <v>32</v>
      </c>
      <c r="X19" s="1" t="s">
        <v>33</v>
      </c>
    </row>
    <row r="20" spans="3:25" x14ac:dyDescent="0.25">
      <c r="C20" s="1">
        <v>1</v>
      </c>
      <c r="D20" s="1">
        <v>53.2</v>
      </c>
      <c r="H20" s="1">
        <v>1</v>
      </c>
      <c r="I20" s="1">
        <v>70.7</v>
      </c>
      <c r="M20" s="1">
        <v>1</v>
      </c>
      <c r="N20" s="1">
        <v>62.9</v>
      </c>
      <c r="R20" s="1">
        <v>1</v>
      </c>
      <c r="S20" s="1">
        <v>51.5</v>
      </c>
      <c r="W20" s="1">
        <v>1</v>
      </c>
      <c r="X20" s="6">
        <v>89.8</v>
      </c>
    </row>
    <row r="21" spans="3:25" x14ac:dyDescent="0.25">
      <c r="C21" s="1">
        <v>2</v>
      </c>
      <c r="E21" s="1">
        <v>56.3872</v>
      </c>
      <c r="G21" s="1"/>
      <c r="H21" s="1">
        <v>2</v>
      </c>
      <c r="J21" s="1">
        <v>70.472200000000001</v>
      </c>
      <c r="M21" s="1">
        <v>2</v>
      </c>
      <c r="N21" s="1">
        <f>(1.1086*2)+55.418</f>
        <v>57.635199999999998</v>
      </c>
      <c r="R21" s="1">
        <v>2</v>
      </c>
      <c r="S21" s="1"/>
      <c r="T21">
        <f>(1.6848*2)+48.865</f>
        <v>52.2346</v>
      </c>
      <c r="W21" s="1">
        <v>2</v>
      </c>
      <c r="X21" s="1"/>
      <c r="Y21">
        <v>90.566199999999995</v>
      </c>
    </row>
    <row r="22" spans="3:25" x14ac:dyDescent="0.25">
      <c r="C22" s="1">
        <v>3</v>
      </c>
      <c r="D22" s="1">
        <v>60.4</v>
      </c>
      <c r="F22" s="69"/>
      <c r="G22" s="1"/>
      <c r="H22" s="1">
        <v>3</v>
      </c>
      <c r="I22" s="1">
        <v>69.7</v>
      </c>
      <c r="M22" s="1">
        <v>3</v>
      </c>
      <c r="N22" s="1">
        <v>58.8</v>
      </c>
      <c r="R22" s="1">
        <v>3</v>
      </c>
      <c r="S22" s="1">
        <v>52.2</v>
      </c>
      <c r="W22" s="1">
        <v>3</v>
      </c>
      <c r="X22" s="6">
        <v>91.8</v>
      </c>
    </row>
    <row r="23" spans="3:25" x14ac:dyDescent="0.25">
      <c r="C23" s="1">
        <v>4</v>
      </c>
      <c r="D23" s="1">
        <v>62.2</v>
      </c>
      <c r="G23" s="1"/>
      <c r="H23" s="1">
        <v>4</v>
      </c>
      <c r="I23" s="1">
        <v>72.7</v>
      </c>
      <c r="M23" s="1">
        <v>4</v>
      </c>
      <c r="N23" s="1">
        <v>59.6</v>
      </c>
      <c r="R23" s="1">
        <v>4</v>
      </c>
      <c r="S23" s="1">
        <v>55.6</v>
      </c>
      <c r="W23" s="1">
        <v>4</v>
      </c>
      <c r="X23" s="1">
        <v>92.4</v>
      </c>
    </row>
    <row r="24" spans="3:25" x14ac:dyDescent="0.25">
      <c r="C24" s="1">
        <v>5</v>
      </c>
      <c r="D24" s="1">
        <v>66</v>
      </c>
      <c r="H24" s="1">
        <v>5</v>
      </c>
      <c r="I24" s="1">
        <v>77.2</v>
      </c>
      <c r="M24" s="1">
        <v>5</v>
      </c>
      <c r="N24" s="1">
        <v>61.3</v>
      </c>
      <c r="R24" s="1">
        <v>5</v>
      </c>
      <c r="S24" s="1">
        <v>57.7</v>
      </c>
      <c r="U24" s="69"/>
      <c r="W24" s="1">
        <v>5</v>
      </c>
      <c r="X24" s="1">
        <v>94.6</v>
      </c>
    </row>
    <row r="25" spans="3:25" x14ac:dyDescent="0.25">
      <c r="C25" s="1">
        <v>6</v>
      </c>
      <c r="D25" s="10">
        <v>71.342500000000001</v>
      </c>
      <c r="H25" s="1">
        <v>6</v>
      </c>
      <c r="I25" s="10">
        <v>80.070700000000002</v>
      </c>
      <c r="M25" s="1">
        <v>6</v>
      </c>
      <c r="N25" s="10">
        <v>61.928699999999999</v>
      </c>
      <c r="R25" s="1">
        <v>6</v>
      </c>
      <c r="S25" s="10">
        <v>59.333799999999997</v>
      </c>
      <c r="W25" s="1">
        <v>6</v>
      </c>
      <c r="X25" s="10">
        <v>97.865399999999994</v>
      </c>
    </row>
    <row r="43" spans="3:28" x14ac:dyDescent="0.25">
      <c r="C43" s="23" t="s">
        <v>127</v>
      </c>
      <c r="D43">
        <f>(3.4671*(2))+49.453</f>
        <v>56.3872</v>
      </c>
      <c r="H43" s="23" t="s">
        <v>123</v>
      </c>
      <c r="I43">
        <f>(2.0011*2)+66.47</f>
        <v>70.472200000000001</v>
      </c>
      <c r="N43" s="23" t="s">
        <v>128</v>
      </c>
      <c r="O43">
        <f>(1.1086*2)+55.418</f>
        <v>57.635199999999998</v>
      </c>
      <c r="U43" s="23" t="s">
        <v>128</v>
      </c>
      <c r="V43">
        <f>(1.6848*2)+48.865</f>
        <v>52.2346</v>
      </c>
      <c r="AA43" s="23" t="s">
        <v>128</v>
      </c>
      <c r="AB43">
        <f>(1.5151*2)+87.536</f>
        <v>90.566199999999995</v>
      </c>
    </row>
    <row r="48" spans="3:28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0"/>
    </row>
  </sheetData>
  <mergeCells count="6">
    <mergeCell ref="M18:N18"/>
    <mergeCell ref="R18:S18"/>
    <mergeCell ref="W18:X18"/>
    <mergeCell ref="B2:C2"/>
    <mergeCell ref="C18:D18"/>
    <mergeCell ref="H18:I18"/>
  </mergeCells>
  <hyperlinks>
    <hyperlink ref="E14" r:id="rId1" xr:uid="{1FDCFEA5-6426-4766-A225-33C7811EE9B0}"/>
    <hyperlink ref="E15" r:id="rId2" xr:uid="{CD05419E-D5B3-4D10-A8AC-BC776DFCA8A1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508F-9071-4FBE-9E1A-673F9411366A}">
  <sheetPr>
    <tabColor theme="9"/>
  </sheetPr>
  <dimension ref="C2:AA74"/>
  <sheetViews>
    <sheetView topLeftCell="L49" zoomScale="115" zoomScaleNormal="115" workbookViewId="0">
      <selection activeCell="P69" sqref="P69"/>
    </sheetView>
  </sheetViews>
  <sheetFormatPr baseColWidth="10" defaultRowHeight="15" x14ac:dyDescent="0.25"/>
  <cols>
    <col min="9" max="9" width="10.7109375" bestFit="1" customWidth="1"/>
    <col min="11" max="11" width="14.5703125" bestFit="1" customWidth="1"/>
  </cols>
  <sheetData>
    <row r="2" spans="3:27" x14ac:dyDescent="0.25">
      <c r="C2" s="64" t="s">
        <v>25</v>
      </c>
      <c r="D2" s="64"/>
      <c r="E2" s="64"/>
      <c r="F2" s="64"/>
      <c r="H2" s="64" t="s">
        <v>29</v>
      </c>
      <c r="I2" s="64"/>
      <c r="J2" s="64"/>
      <c r="K2" s="64"/>
      <c r="M2" s="65" t="s">
        <v>39</v>
      </c>
      <c r="N2" s="65"/>
      <c r="O2" s="65"/>
      <c r="P2" s="65"/>
      <c r="Q2" s="65"/>
      <c r="R2" s="65"/>
      <c r="S2" s="65"/>
      <c r="U2" s="63" t="s">
        <v>40</v>
      </c>
      <c r="V2" s="63"/>
      <c r="W2" s="63"/>
      <c r="X2" s="63"/>
      <c r="Y2" s="63"/>
      <c r="Z2" s="63"/>
      <c r="AA2" s="63"/>
    </row>
    <row r="3" spans="3:27" x14ac:dyDescent="0.25">
      <c r="C3" s="64"/>
      <c r="D3" s="64"/>
      <c r="E3" s="64"/>
      <c r="F3" s="64"/>
      <c r="H3" s="64"/>
      <c r="I3" s="64"/>
      <c r="J3" s="64"/>
      <c r="K3" s="64"/>
      <c r="M3" s="65"/>
      <c r="N3" s="65"/>
      <c r="O3" s="65"/>
      <c r="P3" s="65"/>
      <c r="Q3" s="65"/>
      <c r="R3" s="65"/>
      <c r="S3" s="65"/>
      <c r="U3" s="63"/>
      <c r="V3" s="63"/>
      <c r="W3" s="63"/>
      <c r="X3" s="63"/>
      <c r="Y3" s="63"/>
      <c r="Z3" s="63"/>
      <c r="AA3" s="63"/>
    </row>
    <row r="4" spans="3:27" x14ac:dyDescent="0.25">
      <c r="C4" s="13"/>
    </row>
    <row r="5" spans="3:27" x14ac:dyDescent="0.25">
      <c r="C5" s="14" t="s">
        <v>0</v>
      </c>
      <c r="D5" s="15" t="s">
        <v>26</v>
      </c>
      <c r="E5" s="15" t="s">
        <v>27</v>
      </c>
      <c r="F5" s="15" t="s">
        <v>28</v>
      </c>
      <c r="H5" s="14" t="s">
        <v>0</v>
      </c>
      <c r="I5" s="15" t="s">
        <v>26</v>
      </c>
      <c r="J5" s="15" t="s">
        <v>30</v>
      </c>
      <c r="K5" s="15" t="s">
        <v>31</v>
      </c>
      <c r="N5" s="14" t="s">
        <v>0</v>
      </c>
      <c r="O5" s="14" t="s">
        <v>37</v>
      </c>
      <c r="Q5" s="17" t="s">
        <v>32</v>
      </c>
      <c r="R5" s="17" t="s">
        <v>33</v>
      </c>
      <c r="U5" s="14" t="s">
        <v>0</v>
      </c>
      <c r="V5" s="14" t="s">
        <v>38</v>
      </c>
      <c r="X5" s="17" t="s">
        <v>32</v>
      </c>
      <c r="Y5" s="17" t="s">
        <v>33</v>
      </c>
    </row>
    <row r="6" spans="3:27" x14ac:dyDescent="0.25">
      <c r="C6" s="58">
        <v>2016</v>
      </c>
      <c r="D6" s="15">
        <v>1</v>
      </c>
      <c r="E6" s="16">
        <v>21.605982190080006</v>
      </c>
      <c r="F6" s="59">
        <v>82.010143628701911</v>
      </c>
      <c r="H6" s="58">
        <v>2016</v>
      </c>
      <c r="I6" s="15">
        <v>1</v>
      </c>
      <c r="J6" s="16">
        <v>5270.4</v>
      </c>
      <c r="K6" s="59">
        <v>39.080500000000001</v>
      </c>
      <c r="N6" s="15">
        <v>2000</v>
      </c>
      <c r="O6" s="16">
        <v>252.1632027293052</v>
      </c>
      <c r="Q6" s="1">
        <v>1</v>
      </c>
      <c r="R6" s="18">
        <v>252.1632027293052</v>
      </c>
      <c r="U6" s="15">
        <v>2000</v>
      </c>
      <c r="V6" s="16">
        <v>2711.1569478927008</v>
      </c>
      <c r="X6" s="1">
        <v>1</v>
      </c>
      <c r="Y6" s="21">
        <v>2711.1569478927008</v>
      </c>
    </row>
    <row r="7" spans="3:27" x14ac:dyDescent="0.25">
      <c r="C7" s="58"/>
      <c r="D7" s="15">
        <v>2</v>
      </c>
      <c r="E7" s="16">
        <v>21.866357378095241</v>
      </c>
      <c r="F7" s="59"/>
      <c r="H7" s="58"/>
      <c r="I7" s="15">
        <v>2</v>
      </c>
      <c r="J7" s="16">
        <v>4025.1</v>
      </c>
      <c r="K7" s="60"/>
      <c r="N7" s="15">
        <v>2001</v>
      </c>
      <c r="O7" s="16">
        <v>570.68554797411991</v>
      </c>
      <c r="Q7" s="1">
        <v>2</v>
      </c>
      <c r="R7" s="19">
        <v>570.68554797411991</v>
      </c>
      <c r="U7" s="15">
        <v>2001</v>
      </c>
      <c r="V7" s="16">
        <v>3589.6228037791866</v>
      </c>
      <c r="X7" s="1">
        <v>2</v>
      </c>
      <c r="Y7" s="22">
        <v>3589.6228037791866</v>
      </c>
    </row>
    <row r="8" spans="3:27" x14ac:dyDescent="0.25">
      <c r="C8" s="58"/>
      <c r="D8" s="15">
        <v>3</v>
      </c>
      <c r="E8" s="16">
        <v>18.360288930026666</v>
      </c>
      <c r="F8" s="59"/>
      <c r="H8" s="58"/>
      <c r="I8" s="15">
        <v>3</v>
      </c>
      <c r="J8" s="16">
        <v>26387.200000000001</v>
      </c>
      <c r="K8" s="60"/>
      <c r="N8" s="15">
        <v>2002</v>
      </c>
      <c r="O8" s="16">
        <v>669.73231714984092</v>
      </c>
      <c r="Q8" s="1">
        <v>3</v>
      </c>
      <c r="R8" s="19">
        <v>669.73231714984092</v>
      </c>
      <c r="U8" s="15">
        <v>2002</v>
      </c>
      <c r="V8" s="16">
        <v>3719.7714548494023</v>
      </c>
      <c r="X8" s="1">
        <v>3</v>
      </c>
      <c r="Y8" s="22">
        <v>3719.7714548494023</v>
      </c>
    </row>
    <row r="9" spans="3:27" x14ac:dyDescent="0.25">
      <c r="C9" s="58"/>
      <c r="D9" s="15">
        <v>4</v>
      </c>
      <c r="E9" s="16">
        <v>20.177515130499998</v>
      </c>
      <c r="F9" s="59"/>
      <c r="H9" s="58"/>
      <c r="I9" s="15">
        <v>4</v>
      </c>
      <c r="J9" s="16">
        <v>3397.8</v>
      </c>
      <c r="K9" s="60"/>
      <c r="N9" s="15">
        <v>2003</v>
      </c>
      <c r="O9" s="16">
        <v>797.07046908475775</v>
      </c>
      <c r="Q9" s="1">
        <v>4</v>
      </c>
      <c r="R9" s="19">
        <v>797.07046908475775</v>
      </c>
      <c r="U9" s="15">
        <v>2003</v>
      </c>
      <c r="V9" s="16">
        <v>3951.997714845827</v>
      </c>
      <c r="X9" s="1">
        <v>4</v>
      </c>
      <c r="Y9" s="22">
        <v>3951.997714845827</v>
      </c>
    </row>
    <row r="10" spans="3:27" x14ac:dyDescent="0.25">
      <c r="C10" s="58">
        <v>2017</v>
      </c>
      <c r="D10" s="15">
        <v>5</v>
      </c>
      <c r="E10" s="16">
        <v>15.245025637903332</v>
      </c>
      <c r="F10" s="59">
        <v>62.151875179476669</v>
      </c>
      <c r="H10" s="58">
        <v>2017</v>
      </c>
      <c r="I10" s="15">
        <v>5</v>
      </c>
      <c r="J10" s="16">
        <v>3320.4</v>
      </c>
      <c r="K10" s="59">
        <v>47.210299999999997</v>
      </c>
      <c r="N10" s="15">
        <v>2004</v>
      </c>
      <c r="O10" s="16">
        <v>905.26654218311364</v>
      </c>
      <c r="Q10" s="1">
        <v>5</v>
      </c>
      <c r="R10" s="19">
        <v>905.26654218311364</v>
      </c>
      <c r="U10" s="15">
        <v>2004</v>
      </c>
      <c r="V10" s="16">
        <v>4144.0474083901527</v>
      </c>
      <c r="X10" s="1">
        <v>5</v>
      </c>
      <c r="Y10" s="22">
        <v>4144.0474083901527</v>
      </c>
    </row>
    <row r="11" spans="3:27" x14ac:dyDescent="0.25">
      <c r="C11" s="58"/>
      <c r="D11" s="15">
        <v>6</v>
      </c>
      <c r="E11" s="16">
        <v>14.358061656693334</v>
      </c>
      <c r="F11" s="59"/>
      <c r="H11" s="58"/>
      <c r="I11" s="15">
        <v>6</v>
      </c>
      <c r="J11" s="16">
        <v>39580</v>
      </c>
      <c r="K11" s="60"/>
      <c r="N11" s="15">
        <v>2005</v>
      </c>
      <c r="O11" s="16">
        <v>1107.3071785371305</v>
      </c>
      <c r="Q11" s="1">
        <v>6</v>
      </c>
      <c r="R11" s="19">
        <v>1107.3071785371305</v>
      </c>
      <c r="U11" s="15">
        <v>2005</v>
      </c>
      <c r="V11" s="16">
        <v>4662.3856782800112</v>
      </c>
      <c r="X11" s="1">
        <v>6</v>
      </c>
      <c r="Y11" s="22">
        <v>4662.3856782800112</v>
      </c>
    </row>
    <row r="12" spans="3:27" x14ac:dyDescent="0.25">
      <c r="C12" s="58"/>
      <c r="D12" s="15">
        <v>7</v>
      </c>
      <c r="E12" s="16">
        <v>13.280504013656671</v>
      </c>
      <c r="F12" s="59"/>
      <c r="H12" s="58"/>
      <c r="I12" s="15">
        <v>7</v>
      </c>
      <c r="J12" s="16">
        <v>3725.5</v>
      </c>
      <c r="K12" s="60"/>
      <c r="N12" s="15">
        <v>2006</v>
      </c>
      <c r="O12" s="16">
        <v>1108.2660617507192</v>
      </c>
      <c r="Q12" s="1">
        <v>7</v>
      </c>
      <c r="R12" s="19">
        <v>1108.2660617507192</v>
      </c>
      <c r="U12" s="15">
        <v>2006</v>
      </c>
      <c r="V12" s="16">
        <v>5050.5352556730159</v>
      </c>
      <c r="X12" s="1">
        <v>7</v>
      </c>
      <c r="Y12" s="22">
        <v>5050.5352556730159</v>
      </c>
    </row>
    <row r="13" spans="3:27" x14ac:dyDescent="0.25">
      <c r="C13" s="58"/>
      <c r="D13" s="15">
        <v>8</v>
      </c>
      <c r="E13" s="16">
        <v>19.268283871223332</v>
      </c>
      <c r="F13" s="59"/>
      <c r="H13" s="58"/>
      <c r="I13" s="15">
        <v>8</v>
      </c>
      <c r="J13" s="16">
        <v>584.4</v>
      </c>
      <c r="K13" s="60"/>
      <c r="N13" s="15">
        <v>2007</v>
      </c>
      <c r="O13" s="16">
        <v>1193.9596368066186</v>
      </c>
      <c r="Q13" s="1">
        <v>8</v>
      </c>
      <c r="R13" s="19">
        <v>1193.9596368066186</v>
      </c>
      <c r="U13" s="15">
        <v>2007</v>
      </c>
      <c r="V13" s="16">
        <v>5361.5850660760962</v>
      </c>
      <c r="X13" s="1">
        <v>8</v>
      </c>
      <c r="Y13" s="22">
        <v>5361.5850660760962</v>
      </c>
    </row>
    <row r="14" spans="3:27" x14ac:dyDescent="0.25">
      <c r="C14" s="58">
        <v>2018</v>
      </c>
      <c r="D14" s="15">
        <v>9</v>
      </c>
      <c r="E14" s="16">
        <v>12.939317133479999</v>
      </c>
      <c r="F14" s="59">
        <v>59.277943478356661</v>
      </c>
      <c r="H14" s="58">
        <v>2018</v>
      </c>
      <c r="I14" s="15">
        <v>9</v>
      </c>
      <c r="J14" s="16">
        <v>4581.8</v>
      </c>
      <c r="K14" s="59">
        <v>52.829000000000001</v>
      </c>
      <c r="N14" s="15">
        <v>2008</v>
      </c>
      <c r="O14" s="16">
        <v>1412.1872606605109</v>
      </c>
      <c r="Q14" s="1">
        <v>9</v>
      </c>
      <c r="R14" s="19">
        <v>1412.1872606605109</v>
      </c>
      <c r="U14" s="15">
        <v>2008</v>
      </c>
      <c r="V14" s="16">
        <v>7002.7143829627612</v>
      </c>
      <c r="X14" s="1">
        <v>9</v>
      </c>
      <c r="Y14" s="22">
        <v>7002.7143829627612</v>
      </c>
    </row>
    <row r="15" spans="3:27" x14ac:dyDescent="0.25">
      <c r="C15" s="58"/>
      <c r="D15" s="15">
        <v>10</v>
      </c>
      <c r="E15" s="16">
        <v>13.254906687040002</v>
      </c>
      <c r="F15" s="59"/>
      <c r="H15" s="58"/>
      <c r="I15" s="15">
        <v>10</v>
      </c>
      <c r="J15" s="16">
        <v>56296.9</v>
      </c>
      <c r="K15" s="60"/>
      <c r="N15" s="15">
        <v>2009</v>
      </c>
      <c r="O15" s="16">
        <v>1538.6742155278691</v>
      </c>
      <c r="Q15" s="1">
        <v>10</v>
      </c>
      <c r="R15" s="19">
        <v>1538.6742155278691</v>
      </c>
      <c r="U15" s="15">
        <v>2009</v>
      </c>
      <c r="V15" s="16">
        <v>7028.8881893778052</v>
      </c>
      <c r="X15" s="1">
        <v>10</v>
      </c>
      <c r="Y15" s="22">
        <v>7028.8881893778052</v>
      </c>
    </row>
    <row r="16" spans="3:27" x14ac:dyDescent="0.25">
      <c r="C16" s="58"/>
      <c r="D16" s="15">
        <v>11</v>
      </c>
      <c r="E16" s="16">
        <v>12.651969918540001</v>
      </c>
      <c r="F16" s="59"/>
      <c r="H16" s="58"/>
      <c r="I16" s="15">
        <v>11</v>
      </c>
      <c r="J16" s="16">
        <v>-18357.400000000001</v>
      </c>
      <c r="K16" s="60"/>
      <c r="N16" s="15">
        <v>2010</v>
      </c>
      <c r="O16" s="16">
        <v>1730.2728951223178</v>
      </c>
      <c r="Q16" s="1">
        <v>11</v>
      </c>
      <c r="R16" s="19">
        <v>1730.2728951223178</v>
      </c>
      <c r="U16" s="15">
        <v>2010</v>
      </c>
      <c r="V16" s="16">
        <v>8094.4001056766911</v>
      </c>
      <c r="X16" s="1">
        <v>11</v>
      </c>
      <c r="Y16" s="22">
        <v>8094.4001056766911</v>
      </c>
    </row>
    <row r="17" spans="3:25" x14ac:dyDescent="0.25">
      <c r="C17" s="58"/>
      <c r="D17" s="15">
        <v>12</v>
      </c>
      <c r="E17" s="16">
        <v>20.431749739296666</v>
      </c>
      <c r="F17" s="59"/>
      <c r="H17" s="58"/>
      <c r="I17" s="15">
        <v>12</v>
      </c>
      <c r="J17" s="16">
        <v>10307.700000000001</v>
      </c>
      <c r="K17" s="60"/>
      <c r="N17" s="15">
        <v>2011</v>
      </c>
      <c r="O17" s="16">
        <v>1923.2817627140519</v>
      </c>
      <c r="Q17" s="1">
        <v>12</v>
      </c>
      <c r="R17" s="19">
        <v>1923.2817627140519</v>
      </c>
      <c r="U17" s="15">
        <v>2011</v>
      </c>
      <c r="V17" s="16">
        <v>9741.513408971874</v>
      </c>
      <c r="X17" s="1">
        <v>12</v>
      </c>
      <c r="Y17" s="22">
        <v>9741.513408971874</v>
      </c>
    </row>
    <row r="18" spans="3:25" x14ac:dyDescent="0.25">
      <c r="C18" s="58">
        <v>2019</v>
      </c>
      <c r="D18" s="15">
        <v>13</v>
      </c>
      <c r="E18" s="16">
        <v>16.820073888956667</v>
      </c>
      <c r="F18" s="59">
        <v>70.976801629775991</v>
      </c>
      <c r="H18" s="58">
        <v>2019</v>
      </c>
      <c r="I18" s="15">
        <v>13</v>
      </c>
      <c r="J18" s="16">
        <v>3900.6</v>
      </c>
      <c r="K18" s="59">
        <v>98.8643</v>
      </c>
      <c r="N18" s="15">
        <v>2012</v>
      </c>
      <c r="O18" s="16">
        <v>2087.185303847546</v>
      </c>
      <c r="Q18" s="1">
        <v>13</v>
      </c>
      <c r="R18" s="19">
        <v>2087.185303847546</v>
      </c>
      <c r="U18" s="15">
        <v>2012</v>
      </c>
      <c r="V18" s="16">
        <v>10893.316257586515</v>
      </c>
      <c r="X18" s="1">
        <v>13</v>
      </c>
      <c r="Y18" s="22">
        <v>10893.316257586515</v>
      </c>
    </row>
    <row r="19" spans="3:25" x14ac:dyDescent="0.25">
      <c r="C19" s="58"/>
      <c r="D19" s="15">
        <v>14</v>
      </c>
      <c r="E19" s="16">
        <v>16.602733799033334</v>
      </c>
      <c r="F19" s="59"/>
      <c r="H19" s="58"/>
      <c r="I19" s="15">
        <v>14</v>
      </c>
      <c r="J19" s="16">
        <v>31477.9</v>
      </c>
      <c r="K19" s="60"/>
      <c r="N19" s="15">
        <v>2013</v>
      </c>
      <c r="O19" s="16">
        <v>2248.0758053275558</v>
      </c>
      <c r="Q19" s="1">
        <v>14</v>
      </c>
      <c r="R19" s="19">
        <v>2248.0758053275558</v>
      </c>
      <c r="U19" s="15">
        <v>2013</v>
      </c>
      <c r="V19" s="16">
        <v>12453.596105231378</v>
      </c>
      <c r="X19" s="1">
        <v>14</v>
      </c>
      <c r="Y19" s="22">
        <v>12453.596105231378</v>
      </c>
    </row>
    <row r="20" spans="3:25" x14ac:dyDescent="0.25">
      <c r="C20" s="58"/>
      <c r="D20" s="15">
        <v>15</v>
      </c>
      <c r="E20" s="16">
        <v>13.809646066746</v>
      </c>
      <c r="F20" s="59"/>
      <c r="H20" s="58"/>
      <c r="I20" s="15">
        <v>15</v>
      </c>
      <c r="J20" s="16">
        <v>2771.9</v>
      </c>
      <c r="K20" s="60"/>
      <c r="N20" s="15">
        <v>2014</v>
      </c>
      <c r="O20" s="16">
        <v>2437.6355819139667</v>
      </c>
      <c r="Q20" s="1">
        <v>15</v>
      </c>
      <c r="R20" s="19">
        <v>2437.6355819139667</v>
      </c>
      <c r="U20" s="15">
        <v>2014</v>
      </c>
      <c r="V20" s="16">
        <v>13656.013516275038</v>
      </c>
      <c r="X20" s="1">
        <v>15</v>
      </c>
      <c r="Y20" s="22">
        <v>13656.013516275038</v>
      </c>
    </row>
    <row r="21" spans="3:25" x14ac:dyDescent="0.25">
      <c r="C21" s="58"/>
      <c r="D21" s="15">
        <v>16</v>
      </c>
      <c r="E21" s="16">
        <v>23.744347875039999</v>
      </c>
      <c r="F21" s="59"/>
      <c r="H21" s="58"/>
      <c r="I21" s="15">
        <v>16</v>
      </c>
      <c r="J21" s="16">
        <v>60713.9</v>
      </c>
      <c r="K21" s="60"/>
      <c r="N21" s="15">
        <v>2015</v>
      </c>
      <c r="O21" s="16">
        <v>2347.3153945260569</v>
      </c>
      <c r="Q21" s="1">
        <v>16</v>
      </c>
      <c r="R21" s="19">
        <v>2347.3153945260569</v>
      </c>
      <c r="U21" s="15">
        <v>2015</v>
      </c>
      <c r="V21" s="16">
        <v>13729.011609947451</v>
      </c>
      <c r="X21" s="1">
        <v>16</v>
      </c>
      <c r="Y21" s="22">
        <v>13729.011609947451</v>
      </c>
    </row>
    <row r="22" spans="3:25" x14ac:dyDescent="0.25">
      <c r="C22" s="58">
        <v>2020</v>
      </c>
      <c r="D22" s="15">
        <v>17</v>
      </c>
      <c r="E22" s="16">
        <v>18.625019485660346</v>
      </c>
      <c r="F22" s="59">
        <v>82.485792094104795</v>
      </c>
      <c r="H22" s="58">
        <v>2020</v>
      </c>
      <c r="I22" s="15">
        <v>17</v>
      </c>
      <c r="J22" s="16">
        <v>15665.4</v>
      </c>
      <c r="K22" s="59">
        <v>3.5727000000000002</v>
      </c>
      <c r="N22" s="15">
        <v>2016</v>
      </c>
      <c r="O22" s="16">
        <v>2344.4072560906679</v>
      </c>
      <c r="Q22" s="1">
        <v>17</v>
      </c>
      <c r="R22" s="19">
        <v>2344.4072560906679</v>
      </c>
      <c r="U22" s="15">
        <v>2016</v>
      </c>
      <c r="V22" s="16">
        <v>13426.174428811921</v>
      </c>
      <c r="X22" s="1">
        <v>17</v>
      </c>
      <c r="Y22" s="22">
        <v>13426.174428811921</v>
      </c>
    </row>
    <row r="23" spans="3:25" x14ac:dyDescent="0.25">
      <c r="C23" s="58"/>
      <c r="D23" s="15">
        <v>18</v>
      </c>
      <c r="E23" s="16">
        <v>14.173012706192566</v>
      </c>
      <c r="F23" s="59"/>
      <c r="H23" s="58"/>
      <c r="I23" s="15">
        <v>18</v>
      </c>
      <c r="J23" s="16">
        <v>1390.1</v>
      </c>
      <c r="K23" s="60"/>
      <c r="N23" s="15">
        <v>2017</v>
      </c>
      <c r="O23" s="16">
        <v>2429.6325415393558</v>
      </c>
      <c r="Q23" s="1">
        <v>18</v>
      </c>
      <c r="R23" s="19">
        <v>2429.6325415393558</v>
      </c>
      <c r="U23" s="15">
        <v>2017</v>
      </c>
      <c r="V23" s="16">
        <v>14403.920518301371</v>
      </c>
      <c r="X23" s="1">
        <v>18</v>
      </c>
      <c r="Y23" s="22">
        <v>14403.920518301371</v>
      </c>
    </row>
    <row r="24" spans="3:25" x14ac:dyDescent="0.25">
      <c r="C24" s="58"/>
      <c r="D24" s="15">
        <v>19</v>
      </c>
      <c r="E24" s="16">
        <v>21.561218275598893</v>
      </c>
      <c r="F24" s="59"/>
      <c r="H24" s="58"/>
      <c r="I24" s="15">
        <v>19</v>
      </c>
      <c r="J24" s="16">
        <v>11852.7</v>
      </c>
      <c r="K24" s="60"/>
      <c r="N24" s="15">
        <v>2018</v>
      </c>
      <c r="O24" s="16">
        <v>2567.002</v>
      </c>
      <c r="Q24" s="1">
        <v>19</v>
      </c>
      <c r="R24" s="19">
        <v>2567.002</v>
      </c>
      <c r="U24" s="15">
        <v>2018</v>
      </c>
      <c r="V24" s="16">
        <v>15248.874</v>
      </c>
      <c r="X24" s="1">
        <v>19</v>
      </c>
      <c r="Y24" s="22">
        <v>15248.874</v>
      </c>
    </row>
    <row r="25" spans="3:25" x14ac:dyDescent="0.25">
      <c r="C25" s="58"/>
      <c r="D25" s="15">
        <v>20</v>
      </c>
      <c r="E25" s="16">
        <v>28.126541626652998</v>
      </c>
      <c r="F25" s="59"/>
      <c r="H25" s="58"/>
      <c r="I25" s="15">
        <v>20</v>
      </c>
      <c r="J25" s="16">
        <v>-25335.5</v>
      </c>
      <c r="K25" s="60"/>
      <c r="N25" s="15">
        <v>2019</v>
      </c>
      <c r="O25" s="16">
        <v>2485.971</v>
      </c>
      <c r="Q25" s="1">
        <v>20</v>
      </c>
      <c r="R25" s="19">
        <v>2485.971</v>
      </c>
      <c r="U25" s="15">
        <v>2019</v>
      </c>
      <c r="V25" s="16">
        <v>15276.686</v>
      </c>
      <c r="X25" s="1">
        <v>20</v>
      </c>
      <c r="Y25" s="22">
        <v>15276.686</v>
      </c>
    </row>
    <row r="26" spans="3:25" x14ac:dyDescent="0.25">
      <c r="C26" s="58">
        <v>2021</v>
      </c>
      <c r="D26" s="15">
        <v>21</v>
      </c>
      <c r="E26" s="16">
        <v>19.270698481148997</v>
      </c>
      <c r="F26" s="59">
        <v>73.225726175935904</v>
      </c>
      <c r="H26" s="58">
        <v>2021</v>
      </c>
      <c r="I26" s="15">
        <v>21</v>
      </c>
      <c r="J26" s="16">
        <v>44377.2</v>
      </c>
      <c r="K26" s="59">
        <v>45.211599999999997</v>
      </c>
      <c r="N26" s="15">
        <v>2020</v>
      </c>
      <c r="O26" s="16">
        <v>2310.192</v>
      </c>
      <c r="Q26" s="1">
        <v>21</v>
      </c>
      <c r="R26" s="19">
        <v>2310.192</v>
      </c>
      <c r="U26" s="15">
        <v>2020</v>
      </c>
      <c r="V26" s="16">
        <v>13602.415000000001</v>
      </c>
      <c r="X26" s="1">
        <v>21</v>
      </c>
      <c r="Y26" s="22">
        <v>13602.415000000001</v>
      </c>
    </row>
    <row r="27" spans="3:25" x14ac:dyDescent="0.25">
      <c r="C27" s="58"/>
      <c r="D27" s="15">
        <v>22</v>
      </c>
      <c r="E27" s="16">
        <v>18.545891551484601</v>
      </c>
      <c r="F27" s="59"/>
      <c r="H27" s="58"/>
      <c r="I27" s="15">
        <v>22</v>
      </c>
      <c r="J27" s="16">
        <v>-5617.4</v>
      </c>
      <c r="K27" s="60"/>
      <c r="N27" s="15">
        <v>2021</v>
      </c>
      <c r="O27" s="16">
        <v>2310.1120000000001</v>
      </c>
      <c r="Q27" s="1">
        <v>22</v>
      </c>
      <c r="R27" s="20">
        <v>2310.1120000000001</v>
      </c>
      <c r="U27" s="15">
        <v>2021</v>
      </c>
      <c r="V27" s="16">
        <v>16230.15</v>
      </c>
      <c r="X27" s="1">
        <v>22</v>
      </c>
      <c r="Y27" s="22">
        <v>16230.15</v>
      </c>
    </row>
    <row r="28" spans="3:25" x14ac:dyDescent="0.25">
      <c r="C28" s="58"/>
      <c r="D28" s="15">
        <v>23</v>
      </c>
      <c r="E28" s="16">
        <v>15.546589391475274</v>
      </c>
      <c r="F28" s="59"/>
      <c r="H28" s="58"/>
      <c r="I28" s="15">
        <v>23</v>
      </c>
      <c r="J28" s="16">
        <v>5551.1</v>
      </c>
      <c r="K28" s="60"/>
      <c r="N28" s="15">
        <v>2022</v>
      </c>
      <c r="O28" s="16">
        <v>2483.2919999999999</v>
      </c>
      <c r="Q28" s="1">
        <v>23</v>
      </c>
      <c r="R28" s="20">
        <v>2483.2919999999999</v>
      </c>
      <c r="U28" s="15">
        <v>2022</v>
      </c>
      <c r="V28" s="16">
        <v>18183.8</v>
      </c>
      <c r="X28" s="1">
        <v>23</v>
      </c>
      <c r="Y28" s="22">
        <v>18183.8</v>
      </c>
    </row>
    <row r="29" spans="3:25" x14ac:dyDescent="0.25">
      <c r="C29" s="58"/>
      <c r="D29" s="15">
        <v>24</v>
      </c>
      <c r="E29" s="16">
        <v>19.86254675182705</v>
      </c>
      <c r="F29" s="59"/>
      <c r="H29" s="58"/>
      <c r="I29" s="15">
        <v>24</v>
      </c>
      <c r="J29" s="16">
        <v>900.7</v>
      </c>
      <c r="K29" s="60"/>
      <c r="N29" s="15">
        <v>2023</v>
      </c>
      <c r="O29" s="16">
        <v>2469.6010000000001</v>
      </c>
      <c r="Q29" s="1">
        <v>24</v>
      </c>
      <c r="R29" s="20">
        <v>2469.6010000000001</v>
      </c>
      <c r="U29" s="15">
        <v>2023</v>
      </c>
      <c r="V29" s="16">
        <v>18620.260999999999</v>
      </c>
      <c r="X29" s="1">
        <v>24</v>
      </c>
      <c r="Y29" s="22">
        <v>18620.260999999999</v>
      </c>
    </row>
    <row r="30" spans="3:25" x14ac:dyDescent="0.25">
      <c r="C30" s="58">
        <v>2022</v>
      </c>
      <c r="D30" s="15">
        <v>25</v>
      </c>
      <c r="E30" s="16">
        <v>18.045832477239134</v>
      </c>
      <c r="F30" s="59">
        <v>72.939635726140594</v>
      </c>
      <c r="H30" s="58">
        <v>2022</v>
      </c>
      <c r="I30" s="15">
        <v>25</v>
      </c>
      <c r="J30" s="16">
        <v>15455.4</v>
      </c>
      <c r="K30" s="59">
        <v>18.030200000000001</v>
      </c>
      <c r="N30" s="15">
        <v>2024</v>
      </c>
      <c r="O30" s="16">
        <v>2979.27</v>
      </c>
      <c r="U30" s="15">
        <v>2024</v>
      </c>
      <c r="V30" s="15">
        <f>(716.81*25)+1072.4</f>
        <v>18992.650000000001</v>
      </c>
    </row>
    <row r="31" spans="3:25" x14ac:dyDescent="0.25">
      <c r="C31" s="58"/>
      <c r="D31" s="15">
        <v>26</v>
      </c>
      <c r="E31" s="16">
        <v>12.903305285696124</v>
      </c>
      <c r="F31" s="59"/>
      <c r="H31" s="58"/>
      <c r="I31" s="15">
        <v>26</v>
      </c>
      <c r="J31" s="16">
        <v>25482.2</v>
      </c>
      <c r="K31" s="60"/>
      <c r="N31" s="15">
        <v>2025</v>
      </c>
      <c r="O31" s="16">
        <v>3079.27</v>
      </c>
      <c r="U31" s="15">
        <v>2025</v>
      </c>
      <c r="V31" s="15">
        <f>(716.81*26)+1072.4</f>
        <v>19709.46</v>
      </c>
    </row>
    <row r="32" spans="3:25" x14ac:dyDescent="0.25">
      <c r="C32" s="58"/>
      <c r="D32" s="15">
        <v>27</v>
      </c>
      <c r="E32" s="16">
        <v>14.11723346376233</v>
      </c>
      <c r="F32" s="59"/>
      <c r="H32" s="58"/>
      <c r="I32" s="15">
        <v>27</v>
      </c>
      <c r="J32" s="16">
        <v>2667</v>
      </c>
      <c r="K32" s="60"/>
    </row>
    <row r="33" spans="3:23" x14ac:dyDescent="0.25">
      <c r="C33" s="58"/>
      <c r="D33" s="15">
        <v>28</v>
      </c>
      <c r="E33" s="16">
        <v>27.873264499442968</v>
      </c>
      <c r="F33" s="59"/>
      <c r="H33" s="58"/>
      <c r="I33" s="15">
        <v>28</v>
      </c>
      <c r="J33" s="16">
        <v>-25574.400000000001</v>
      </c>
      <c r="K33" s="60"/>
    </row>
    <row r="34" spans="3:23" x14ac:dyDescent="0.25">
      <c r="C34" s="58">
        <v>2023</v>
      </c>
      <c r="D34" s="15">
        <v>29</v>
      </c>
      <c r="E34" s="16">
        <v>19.089729038665006</v>
      </c>
      <c r="F34" s="59">
        <v>96.832070175528003</v>
      </c>
      <c r="H34" s="58">
        <v>2023</v>
      </c>
      <c r="I34" s="15">
        <v>29</v>
      </c>
      <c r="J34" s="16">
        <v>15327.8</v>
      </c>
      <c r="K34" s="59">
        <v>37.959400000000002</v>
      </c>
    </row>
    <row r="35" spans="3:23" x14ac:dyDescent="0.25">
      <c r="C35" s="58"/>
      <c r="D35" s="15">
        <v>30</v>
      </c>
      <c r="E35" s="16">
        <v>16.290001883974</v>
      </c>
      <c r="F35" s="59"/>
      <c r="H35" s="58"/>
      <c r="I35" s="15">
        <v>30</v>
      </c>
      <c r="J35" s="16">
        <v>8262.7000000000007</v>
      </c>
      <c r="K35" s="60"/>
    </row>
    <row r="36" spans="3:23" x14ac:dyDescent="0.25">
      <c r="C36" s="58"/>
      <c r="D36" s="15">
        <v>31</v>
      </c>
      <c r="E36" s="16">
        <v>22.393697376441001</v>
      </c>
      <c r="F36" s="59"/>
      <c r="H36" s="58"/>
      <c r="I36" s="15">
        <v>31</v>
      </c>
      <c r="J36" s="16">
        <v>9671.1</v>
      </c>
      <c r="K36" s="60"/>
    </row>
    <row r="37" spans="3:23" x14ac:dyDescent="0.25">
      <c r="C37" s="58"/>
      <c r="D37" s="15">
        <v>32</v>
      </c>
      <c r="E37" s="16">
        <v>39.058641876448</v>
      </c>
      <c r="F37" s="59"/>
      <c r="H37" s="58"/>
      <c r="I37" s="15">
        <v>32</v>
      </c>
      <c r="J37" s="16">
        <v>4697.8</v>
      </c>
      <c r="K37" s="60"/>
    </row>
    <row r="38" spans="3:23" x14ac:dyDescent="0.25">
      <c r="C38" s="58">
        <v>2024</v>
      </c>
      <c r="D38" s="15">
        <v>33</v>
      </c>
      <c r="E38" s="16">
        <v>24.515700776429998</v>
      </c>
      <c r="F38" s="59">
        <v>94.852832997454541</v>
      </c>
      <c r="H38" s="58">
        <v>2024</v>
      </c>
      <c r="I38" s="15">
        <v>33</v>
      </c>
      <c r="J38" s="16">
        <v>23843.200000000001</v>
      </c>
      <c r="K38" s="59">
        <v>103.69119999999999</v>
      </c>
    </row>
    <row r="39" spans="3:23" x14ac:dyDescent="0.25">
      <c r="C39" s="58"/>
      <c r="D39" s="15">
        <v>34</v>
      </c>
      <c r="E39" s="16">
        <v>22.718181979702003</v>
      </c>
      <c r="F39" s="59"/>
      <c r="H39" s="58"/>
      <c r="I39" s="15">
        <v>34</v>
      </c>
      <c r="J39" s="16">
        <v>8086.8</v>
      </c>
      <c r="K39" s="60"/>
    </row>
    <row r="40" spans="3:23" x14ac:dyDescent="0.25">
      <c r="C40" s="58"/>
      <c r="D40" s="15">
        <v>35</v>
      </c>
      <c r="E40" s="16">
        <v>21.271382596950534</v>
      </c>
      <c r="F40" s="59"/>
      <c r="H40" s="58"/>
      <c r="I40" s="15">
        <v>35</v>
      </c>
      <c r="J40" s="16">
        <v>55186.5</v>
      </c>
      <c r="K40" s="60"/>
    </row>
    <row r="41" spans="3:23" x14ac:dyDescent="0.25">
      <c r="C41" s="58"/>
      <c r="D41" s="15">
        <v>36</v>
      </c>
      <c r="E41" s="16">
        <v>26.34756764437201</v>
      </c>
      <c r="F41" s="59"/>
      <c r="H41" s="58"/>
      <c r="I41" s="15">
        <v>36</v>
      </c>
      <c r="J41" s="16">
        <v>16574.7</v>
      </c>
      <c r="K41" s="60"/>
    </row>
    <row r="42" spans="3:23" x14ac:dyDescent="0.25">
      <c r="C42" s="58">
        <v>2025</v>
      </c>
      <c r="D42" s="15">
        <v>37</v>
      </c>
      <c r="E42" s="16">
        <v>37.971683182306009</v>
      </c>
      <c r="F42" s="59">
        <f>SUM(E42:E45)</f>
        <v>125.79415285648444</v>
      </c>
      <c r="H42" s="58">
        <v>2025</v>
      </c>
      <c r="I42" s="15">
        <v>37</v>
      </c>
      <c r="J42" s="16">
        <v>2248</v>
      </c>
      <c r="K42" s="59">
        <v>26.615200000000002</v>
      </c>
    </row>
    <row r="43" spans="3:23" x14ac:dyDescent="0.25">
      <c r="C43" s="58"/>
      <c r="D43" s="15">
        <v>38</v>
      </c>
      <c r="E43" s="16">
        <v>29.436466819989995</v>
      </c>
      <c r="F43" s="60"/>
      <c r="H43" s="58"/>
      <c r="I43" s="15">
        <v>38</v>
      </c>
      <c r="J43" s="16">
        <v>3989.5</v>
      </c>
      <c r="K43" s="60"/>
    </row>
    <row r="44" spans="3:23" x14ac:dyDescent="0.25">
      <c r="C44" s="58"/>
      <c r="D44" s="15">
        <v>39</v>
      </c>
      <c r="E44" s="16">
        <v>26.937464640067326</v>
      </c>
      <c r="F44" s="60"/>
      <c r="H44" s="58"/>
      <c r="I44" s="15">
        <v>39</v>
      </c>
      <c r="J44" s="16">
        <v>13723.9</v>
      </c>
      <c r="K44" s="60"/>
    </row>
    <row r="45" spans="3:23" x14ac:dyDescent="0.25">
      <c r="C45" s="58"/>
      <c r="D45" s="15">
        <v>40</v>
      </c>
      <c r="E45" s="16">
        <f>AVERAGE(E42:E44)</f>
        <v>31.448538214121111</v>
      </c>
      <c r="F45" s="60"/>
      <c r="H45" s="58"/>
      <c r="I45" s="15">
        <v>40</v>
      </c>
      <c r="J45" s="16">
        <f>AVERAGE(J42:J44)</f>
        <v>6653.8</v>
      </c>
      <c r="K45" s="60"/>
    </row>
    <row r="47" spans="3:23" x14ac:dyDescent="0.25">
      <c r="O47" t="s">
        <v>34</v>
      </c>
      <c r="W47" t="s">
        <v>43</v>
      </c>
    </row>
    <row r="48" spans="3:23" x14ac:dyDescent="0.25">
      <c r="O48" t="s">
        <v>35</v>
      </c>
      <c r="W48" t="s">
        <v>44</v>
      </c>
    </row>
    <row r="49" spans="14:23" x14ac:dyDescent="0.25">
      <c r="N49" s="23" t="s">
        <v>41</v>
      </c>
      <c r="O49">
        <f>(99.3*25)+497.47</f>
        <v>2979.9700000000003</v>
      </c>
      <c r="V49" s="23" t="s">
        <v>41</v>
      </c>
      <c r="W49">
        <f>(716.81*25)+1072.4</f>
        <v>18992.650000000001</v>
      </c>
    </row>
    <row r="50" spans="14:23" x14ac:dyDescent="0.25">
      <c r="V50" s="23"/>
    </row>
    <row r="51" spans="14:23" x14ac:dyDescent="0.25">
      <c r="O51" t="s">
        <v>36</v>
      </c>
      <c r="V51" s="23"/>
      <c r="W51" t="s">
        <v>45</v>
      </c>
    </row>
    <row r="52" spans="14:23" x14ac:dyDescent="0.25">
      <c r="N52" s="23" t="s">
        <v>42</v>
      </c>
      <c r="O52">
        <f>(99.3*26)+497.47</f>
        <v>3079.2699999999995</v>
      </c>
      <c r="V52" s="23" t="s">
        <v>42</v>
      </c>
      <c r="W52">
        <f>(716.81*26)+1072.4</f>
        <v>19709.46</v>
      </c>
    </row>
    <row r="56" spans="14:23" x14ac:dyDescent="0.25">
      <c r="N56" s="62" t="s">
        <v>46</v>
      </c>
      <c r="O56" s="62"/>
      <c r="P56" s="62"/>
      <c r="Q56" s="62"/>
      <c r="R56" s="62"/>
    </row>
    <row r="58" spans="14:23" x14ac:dyDescent="0.25">
      <c r="O58" s="24" t="s">
        <v>47</v>
      </c>
      <c r="P58" s="61" t="s">
        <v>49</v>
      </c>
      <c r="Q58" s="61"/>
    </row>
    <row r="59" spans="14:23" x14ac:dyDescent="0.25">
      <c r="P59" s="55" t="s">
        <v>50</v>
      </c>
      <c r="Q59" s="55"/>
    </row>
    <row r="60" spans="14:23" x14ac:dyDescent="0.25">
      <c r="O60" s="1"/>
      <c r="P60" s="1"/>
    </row>
    <row r="61" spans="14:23" x14ac:dyDescent="0.25">
      <c r="N61" s="25" t="s">
        <v>54</v>
      </c>
      <c r="O61" s="25">
        <v>2020</v>
      </c>
      <c r="P61" s="25">
        <v>2021</v>
      </c>
      <c r="Q61" s="25">
        <v>2022</v>
      </c>
      <c r="R61" s="25">
        <v>2023</v>
      </c>
      <c r="S61" s="25">
        <v>2024</v>
      </c>
      <c r="T61" s="25">
        <v>2025</v>
      </c>
    </row>
    <row r="62" spans="14:23" x14ac:dyDescent="0.25">
      <c r="N62" s="25" t="s">
        <v>52</v>
      </c>
      <c r="O62" s="16">
        <v>3.5727000000000002</v>
      </c>
      <c r="P62" s="16">
        <v>45.211599999999997</v>
      </c>
      <c r="Q62" s="16">
        <f>F30</f>
        <v>72.939635726140594</v>
      </c>
      <c r="R62" s="16">
        <f>F34</f>
        <v>96.832070175528003</v>
      </c>
      <c r="S62" s="16">
        <f>F38</f>
        <v>94.852832997454541</v>
      </c>
      <c r="T62" s="16">
        <f>F42</f>
        <v>125.79415285648444</v>
      </c>
    </row>
    <row r="63" spans="14:23" x14ac:dyDescent="0.25">
      <c r="N63" s="25" t="s">
        <v>48</v>
      </c>
      <c r="O63" s="16">
        <v>82.485792094104795</v>
      </c>
      <c r="P63" s="16">
        <v>73.225726175935904</v>
      </c>
      <c r="Q63" s="16">
        <f>K30</f>
        <v>18.030200000000001</v>
      </c>
      <c r="R63" s="16">
        <f>K34</f>
        <v>37.959400000000002</v>
      </c>
      <c r="S63" s="16">
        <f>K38</f>
        <v>103.69119999999999</v>
      </c>
      <c r="T63" s="16">
        <f>K42</f>
        <v>26.615200000000002</v>
      </c>
    </row>
    <row r="64" spans="14:23" x14ac:dyDescent="0.25">
      <c r="N64" s="25" t="s">
        <v>53</v>
      </c>
      <c r="O64" s="16">
        <v>2310.192</v>
      </c>
      <c r="P64" s="16">
        <v>2310.1120000000001</v>
      </c>
      <c r="Q64" s="16">
        <f>O28</f>
        <v>2483.2919999999999</v>
      </c>
      <c r="R64" s="16">
        <f>O29</f>
        <v>2469.6010000000001</v>
      </c>
      <c r="S64" s="16">
        <f>O30</f>
        <v>2979.27</v>
      </c>
      <c r="T64" s="16">
        <f>O31</f>
        <v>3079.27</v>
      </c>
    </row>
    <row r="65" spans="11:24" x14ac:dyDescent="0.25">
      <c r="N65" s="25" t="s">
        <v>50</v>
      </c>
      <c r="O65" s="16">
        <v>13602.415000000001</v>
      </c>
      <c r="P65" s="16">
        <v>16230.15</v>
      </c>
      <c r="Q65" s="16">
        <f>V28</f>
        <v>18183.8</v>
      </c>
      <c r="R65" s="16">
        <f>V29</f>
        <v>18620.260999999999</v>
      </c>
      <c r="S65" s="15">
        <f>V30</f>
        <v>18992.650000000001</v>
      </c>
      <c r="T65" s="15">
        <f>V31</f>
        <v>19709.46</v>
      </c>
    </row>
    <row r="66" spans="11:24" x14ac:dyDescent="0.25">
      <c r="N66" s="26" t="s">
        <v>55</v>
      </c>
      <c r="O66" s="27">
        <f>(O62+O63+O64)/O65</f>
        <v>0.17616360713109433</v>
      </c>
      <c r="P66" s="27">
        <f>(P62+P63+P64)/P65</f>
        <v>0.14963197051018851</v>
      </c>
      <c r="Q66" s="27">
        <f>(Q62+Q63+Q64)/Q65</f>
        <v>0.14156896994721349</v>
      </c>
      <c r="R66" s="27">
        <f>(R62+R63+R64)/R65</f>
        <v>0.13986874137669328</v>
      </c>
      <c r="S66" s="27">
        <f>(S62+S63+S64)/S65</f>
        <v>0.16731809584220497</v>
      </c>
      <c r="T66" s="27">
        <f>(T62+T63+T64)/T65</f>
        <v>0.16396590027613564</v>
      </c>
    </row>
    <row r="68" spans="11:24" x14ac:dyDescent="0.25">
      <c r="Q68" t="s">
        <v>122</v>
      </c>
    </row>
    <row r="71" spans="11:24" x14ac:dyDescent="0.25">
      <c r="K71" t="s">
        <v>56</v>
      </c>
    </row>
    <row r="72" spans="11:24" x14ac:dyDescent="0.25">
      <c r="K72" t="s">
        <v>48</v>
      </c>
      <c r="L72" s="12" t="s">
        <v>61</v>
      </c>
      <c r="U72" t="s">
        <v>62</v>
      </c>
    </row>
    <row r="73" spans="11:24" x14ac:dyDescent="0.25">
      <c r="K73" t="s">
        <v>52</v>
      </c>
      <c r="L73" s="12" t="s">
        <v>58</v>
      </c>
      <c r="T73" t="s">
        <v>59</v>
      </c>
      <c r="V73" t="s">
        <v>60</v>
      </c>
    </row>
    <row r="74" spans="11:24" x14ac:dyDescent="0.25">
      <c r="K74" t="s">
        <v>57</v>
      </c>
      <c r="L74" s="12" t="s">
        <v>63</v>
      </c>
      <c r="U74" t="s">
        <v>64</v>
      </c>
      <c r="X74" t="s">
        <v>65</v>
      </c>
    </row>
  </sheetData>
  <mergeCells count="47">
    <mergeCell ref="P58:Q58"/>
    <mergeCell ref="P59:Q59"/>
    <mergeCell ref="N56:R56"/>
    <mergeCell ref="U2:AA3"/>
    <mergeCell ref="C2:F3"/>
    <mergeCell ref="H2:K3"/>
    <mergeCell ref="M2:S3"/>
    <mergeCell ref="H34:H37"/>
    <mergeCell ref="K34:K37"/>
    <mergeCell ref="H38:H41"/>
    <mergeCell ref="K38:K41"/>
    <mergeCell ref="H42:H45"/>
    <mergeCell ref="K42:K45"/>
    <mergeCell ref="K18:K21"/>
    <mergeCell ref="H22:H25"/>
    <mergeCell ref="K22:K25"/>
    <mergeCell ref="K26:K29"/>
    <mergeCell ref="H30:H33"/>
    <mergeCell ref="K30:K33"/>
    <mergeCell ref="C42:C45"/>
    <mergeCell ref="F42:F45"/>
    <mergeCell ref="C38:C41"/>
    <mergeCell ref="F38:F41"/>
    <mergeCell ref="H6:H9"/>
    <mergeCell ref="K6:K9"/>
    <mergeCell ref="H10:H13"/>
    <mergeCell ref="K10:K13"/>
    <mergeCell ref="H14:H17"/>
    <mergeCell ref="K14:K17"/>
    <mergeCell ref="H18:H21"/>
    <mergeCell ref="C30:C33"/>
    <mergeCell ref="F30:F33"/>
    <mergeCell ref="C34:C37"/>
    <mergeCell ref="F34:F37"/>
    <mergeCell ref="C18:C21"/>
    <mergeCell ref="F18:F21"/>
    <mergeCell ref="C22:C25"/>
    <mergeCell ref="F22:F25"/>
    <mergeCell ref="C26:C29"/>
    <mergeCell ref="F26:F29"/>
    <mergeCell ref="H26:H29"/>
    <mergeCell ref="C6:C9"/>
    <mergeCell ref="F6:F9"/>
    <mergeCell ref="C10:C13"/>
    <mergeCell ref="F10:F13"/>
    <mergeCell ref="C14:C17"/>
    <mergeCell ref="F14:F17"/>
  </mergeCells>
  <hyperlinks>
    <hyperlink ref="L73" r:id="rId1" xr:uid="{4090675F-0A6F-458C-A5AB-C9792279631F}"/>
    <hyperlink ref="L72" r:id="rId2" xr:uid="{36B0E38A-77A0-4C56-B8C7-9355CA3C4879}"/>
    <hyperlink ref="L74" r:id="rId3" xr:uid="{72F9D503-CCDF-4523-9EA1-19E7EB70F68D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178F-0607-40C7-86AC-4AFBA20A6C81}">
  <sheetPr>
    <tabColor theme="9"/>
  </sheetPr>
  <dimension ref="B2:Q80"/>
  <sheetViews>
    <sheetView tabSelected="1" topLeftCell="A25" zoomScaleNormal="100" workbookViewId="0">
      <selection activeCell="D52" sqref="D52"/>
    </sheetView>
  </sheetViews>
  <sheetFormatPr baseColWidth="10" defaultRowHeight="15" x14ac:dyDescent="0.25"/>
  <cols>
    <col min="4" max="4" width="16" customWidth="1"/>
    <col min="6" max="6" width="12" bestFit="1" customWidth="1"/>
  </cols>
  <sheetData>
    <row r="2" spans="2:17" x14ac:dyDescent="0.25">
      <c r="B2" s="66" t="s">
        <v>72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2:17" x14ac:dyDescent="0.25">
      <c r="B3" t="s">
        <v>73</v>
      </c>
    </row>
    <row r="4" spans="2:17" x14ac:dyDescent="0.25">
      <c r="C4" s="67" t="s">
        <v>68</v>
      </c>
      <c r="D4" s="67"/>
      <c r="E4" s="67"/>
      <c r="F4" s="67"/>
    </row>
    <row r="5" spans="2:17" x14ac:dyDescent="0.25">
      <c r="C5" s="67"/>
      <c r="D5" s="67"/>
      <c r="E5" s="67"/>
      <c r="F5" s="67"/>
    </row>
    <row r="6" spans="2:17" x14ac:dyDescent="0.25">
      <c r="F6" s="2"/>
    </row>
    <row r="8" spans="2:17" x14ac:dyDescent="0.25">
      <c r="C8" s="68" t="s">
        <v>90</v>
      </c>
      <c r="D8" s="68"/>
    </row>
    <row r="9" spans="2:17" x14ac:dyDescent="0.25">
      <c r="C9" s="29" t="s">
        <v>66</v>
      </c>
      <c r="D9" s="29" t="s">
        <v>67</v>
      </c>
      <c r="F9" s="17" t="s">
        <v>32</v>
      </c>
      <c r="G9" s="17" t="s">
        <v>33</v>
      </c>
    </row>
    <row r="10" spans="2:17" x14ac:dyDescent="0.25">
      <c r="C10" s="28">
        <v>2010</v>
      </c>
      <c r="D10" s="28">
        <v>44.96</v>
      </c>
      <c r="F10" s="28">
        <v>1</v>
      </c>
      <c r="G10" s="30">
        <v>44.96</v>
      </c>
    </row>
    <row r="11" spans="2:17" x14ac:dyDescent="0.25">
      <c r="C11" s="28">
        <v>2011</v>
      </c>
      <c r="D11" s="28">
        <v>49.85</v>
      </c>
      <c r="F11" s="28">
        <v>2</v>
      </c>
      <c r="G11" s="31">
        <v>49.85</v>
      </c>
    </row>
    <row r="12" spans="2:17" x14ac:dyDescent="0.25">
      <c r="C12" s="28">
        <v>2012</v>
      </c>
      <c r="D12" s="28">
        <v>55.58</v>
      </c>
      <c r="F12" s="28">
        <v>3</v>
      </c>
      <c r="G12" s="31">
        <v>55.58</v>
      </c>
    </row>
    <row r="13" spans="2:17" x14ac:dyDescent="0.25">
      <c r="C13" s="28">
        <v>2013</v>
      </c>
      <c r="D13" s="28">
        <v>60.65</v>
      </c>
      <c r="F13" s="28">
        <v>4</v>
      </c>
      <c r="G13" s="31">
        <v>60.65</v>
      </c>
      <c r="P13" t="s">
        <v>87</v>
      </c>
    </row>
    <row r="14" spans="2:17" x14ac:dyDescent="0.25">
      <c r="C14" s="28">
        <v>2014</v>
      </c>
      <c r="D14" s="28">
        <v>65.19</v>
      </c>
      <c r="F14" s="28">
        <v>5</v>
      </c>
      <c r="G14" s="31">
        <v>65.19</v>
      </c>
      <c r="P14" t="s">
        <v>86</v>
      </c>
      <c r="Q14" s="33" t="s">
        <v>88</v>
      </c>
    </row>
    <row r="15" spans="2:17" x14ac:dyDescent="0.25">
      <c r="C15" s="28">
        <v>2015</v>
      </c>
      <c r="D15" s="28">
        <v>89.82</v>
      </c>
      <c r="F15" s="28">
        <v>6</v>
      </c>
      <c r="G15" s="31">
        <v>89.82</v>
      </c>
      <c r="P15" t="s">
        <v>89</v>
      </c>
    </row>
    <row r="16" spans="2:17" x14ac:dyDescent="0.25">
      <c r="C16" s="28">
        <v>2016</v>
      </c>
      <c r="D16" s="28">
        <v>93.82</v>
      </c>
      <c r="F16" s="28">
        <v>7</v>
      </c>
      <c r="G16" s="31">
        <v>93.82</v>
      </c>
    </row>
    <row r="17" spans="3:17" x14ac:dyDescent="0.25">
      <c r="C17" s="28">
        <v>2017</v>
      </c>
      <c r="D17" s="28">
        <v>94.73</v>
      </c>
      <c r="F17" s="28">
        <v>8</v>
      </c>
      <c r="G17" s="31">
        <v>94.73</v>
      </c>
    </row>
    <row r="18" spans="3:17" x14ac:dyDescent="0.25">
      <c r="C18" s="28">
        <v>2018</v>
      </c>
      <c r="D18" s="28">
        <v>100.27</v>
      </c>
      <c r="F18" s="28">
        <v>9</v>
      </c>
      <c r="G18" s="31">
        <v>100.27</v>
      </c>
      <c r="P18" t="s">
        <v>97</v>
      </c>
      <c r="Q18" s="12" t="s">
        <v>98</v>
      </c>
    </row>
    <row r="19" spans="3:17" x14ac:dyDescent="0.25">
      <c r="C19" s="28">
        <v>2019</v>
      </c>
      <c r="D19" s="28">
        <v>105.45</v>
      </c>
      <c r="F19" s="28">
        <v>10</v>
      </c>
      <c r="G19" s="31">
        <v>105.45</v>
      </c>
    </row>
    <row r="20" spans="3:17" x14ac:dyDescent="0.25">
      <c r="C20" s="28">
        <v>2020</v>
      </c>
      <c r="D20" s="28">
        <v>115.37</v>
      </c>
      <c r="F20" s="28">
        <v>11</v>
      </c>
      <c r="G20" s="31">
        <v>115.37</v>
      </c>
    </row>
    <row r="21" spans="3:17" x14ac:dyDescent="0.25">
      <c r="C21" s="28">
        <v>2021</v>
      </c>
      <c r="D21" s="28">
        <v>127.74</v>
      </c>
      <c r="F21" s="28">
        <v>12</v>
      </c>
      <c r="G21" s="31">
        <v>127.74</v>
      </c>
    </row>
    <row r="22" spans="3:17" x14ac:dyDescent="0.25">
      <c r="C22" s="28">
        <v>2022</v>
      </c>
      <c r="D22" s="28">
        <v>134.66</v>
      </c>
      <c r="F22" s="28">
        <v>13</v>
      </c>
      <c r="G22" s="31">
        <v>134.66</v>
      </c>
    </row>
    <row r="23" spans="3:17" x14ac:dyDescent="0.25">
      <c r="C23" s="28">
        <v>2023</v>
      </c>
      <c r="D23" s="28">
        <v>136.80000000000001</v>
      </c>
      <c r="F23" s="28">
        <v>14</v>
      </c>
      <c r="G23" s="31">
        <v>136.80000000000001</v>
      </c>
    </row>
    <row r="24" spans="3:17" x14ac:dyDescent="0.25">
      <c r="C24" s="28">
        <v>2024</v>
      </c>
      <c r="D24" s="28">
        <v>139.55000000000001</v>
      </c>
      <c r="F24" s="28">
        <v>15</v>
      </c>
      <c r="G24" s="31">
        <v>139.55000000000001</v>
      </c>
    </row>
    <row r="25" spans="3:17" x14ac:dyDescent="0.25">
      <c r="C25" s="28">
        <v>2025</v>
      </c>
      <c r="D25" s="10">
        <f>K28</f>
        <v>152.46340000000001</v>
      </c>
      <c r="F25" s="28">
        <v>16</v>
      </c>
      <c r="G25" s="10">
        <f>K28</f>
        <v>152.46340000000001</v>
      </c>
    </row>
    <row r="26" spans="3:17" x14ac:dyDescent="0.25">
      <c r="J26" s="23" t="s">
        <v>70</v>
      </c>
      <c r="K26" t="s">
        <v>69</v>
      </c>
    </row>
    <row r="27" spans="3:17" x14ac:dyDescent="0.25">
      <c r="J27" s="23" t="s">
        <v>70</v>
      </c>
      <c r="K27" t="s">
        <v>71</v>
      </c>
    </row>
    <row r="28" spans="3:17" x14ac:dyDescent="0.25">
      <c r="J28" s="23" t="s">
        <v>70</v>
      </c>
      <c r="K28" s="10">
        <f>+ 7.2709*(16) + 36.129</f>
        <v>152.46340000000001</v>
      </c>
    </row>
    <row r="31" spans="3:17" x14ac:dyDescent="0.25">
      <c r="J31" s="23" t="s">
        <v>81</v>
      </c>
      <c r="K31" s="61" t="s">
        <v>82</v>
      </c>
      <c r="L31" s="61"/>
      <c r="N31" t="s">
        <v>5</v>
      </c>
      <c r="O31" s="33" t="s">
        <v>84</v>
      </c>
    </row>
    <row r="32" spans="3:17" x14ac:dyDescent="0.25">
      <c r="K32" s="55" t="s">
        <v>83</v>
      </c>
      <c r="L32" s="55"/>
      <c r="N32" t="s">
        <v>85</v>
      </c>
    </row>
    <row r="34" spans="3:11" x14ac:dyDescent="0.25">
      <c r="J34" s="15" t="s">
        <v>95</v>
      </c>
      <c r="K34" s="36" t="s">
        <v>80</v>
      </c>
    </row>
    <row r="35" spans="3:11" x14ac:dyDescent="0.25">
      <c r="J35" s="15">
        <v>2020</v>
      </c>
      <c r="K35" s="37">
        <f>(D20-$D$10)/($D$25-$D$10)</f>
        <v>0.65495602929767804</v>
      </c>
    </row>
    <row r="36" spans="3:11" x14ac:dyDescent="0.25">
      <c r="J36" s="15">
        <v>2021</v>
      </c>
      <c r="K36" s="37">
        <f>(D21-$D$10)/($D$25-$D$10)</f>
        <v>0.77002215743874147</v>
      </c>
    </row>
    <row r="37" spans="3:11" x14ac:dyDescent="0.25">
      <c r="J37" s="15">
        <v>2022</v>
      </c>
      <c r="K37" s="37">
        <f>(D22-$D$10)/($D$25-$D$10)</f>
        <v>0.83439221457181811</v>
      </c>
    </row>
    <row r="38" spans="3:11" x14ac:dyDescent="0.25">
      <c r="J38" s="15">
        <v>2023</v>
      </c>
      <c r="K38" s="37">
        <f>(D23-$D$10)/($D$25-$D$10)</f>
        <v>0.85429856171990848</v>
      </c>
    </row>
    <row r="39" spans="3:11" x14ac:dyDescent="0.25">
      <c r="J39" s="15">
        <v>2024</v>
      </c>
      <c r="K39" s="37">
        <f>(D24-$D$10)/($D$25-$D$10)</f>
        <v>0.8798791480083421</v>
      </c>
    </row>
    <row r="40" spans="3:11" x14ac:dyDescent="0.25">
      <c r="J40" s="15">
        <v>2025</v>
      </c>
      <c r="K40" s="37">
        <f>(D25-$D$10)/($D$25-$D$10)</f>
        <v>1</v>
      </c>
    </row>
    <row r="44" spans="3:11" x14ac:dyDescent="0.25">
      <c r="C44" s="67" t="s">
        <v>74</v>
      </c>
      <c r="D44" s="67"/>
      <c r="E44" s="67"/>
      <c r="F44" s="67"/>
    </row>
    <row r="45" spans="3:11" x14ac:dyDescent="0.25">
      <c r="C45" s="67"/>
      <c r="D45" s="67"/>
      <c r="E45" s="67"/>
      <c r="F45" s="67"/>
    </row>
    <row r="46" spans="3:11" x14ac:dyDescent="0.25">
      <c r="C46" s="1"/>
      <c r="D46" s="32"/>
    </row>
    <row r="47" spans="3:11" x14ac:dyDescent="0.25">
      <c r="C47" s="71" t="s">
        <v>75</v>
      </c>
      <c r="D47" s="71" t="s">
        <v>76</v>
      </c>
      <c r="I47" s="23" t="s">
        <v>91</v>
      </c>
      <c r="J47" s="61" t="s">
        <v>76</v>
      </c>
      <c r="K47" s="61"/>
    </row>
    <row r="48" spans="3:11" x14ac:dyDescent="0.25">
      <c r="C48" s="1">
        <v>2020</v>
      </c>
      <c r="D48" s="32">
        <v>7848015622.1100016</v>
      </c>
      <c r="J48" s="55" t="s">
        <v>92</v>
      </c>
      <c r="K48" s="55"/>
    </row>
    <row r="49" spans="3:11" x14ac:dyDescent="0.25">
      <c r="C49" s="1">
        <v>2021</v>
      </c>
      <c r="D49" s="32">
        <v>9520203266.8200073</v>
      </c>
    </row>
    <row r="50" spans="3:11" x14ac:dyDescent="0.25">
      <c r="C50" s="1">
        <v>2022</v>
      </c>
      <c r="D50" s="32">
        <v>10910791431</v>
      </c>
      <c r="J50" s="15" t="s">
        <v>95</v>
      </c>
      <c r="K50" s="36" t="s">
        <v>93</v>
      </c>
    </row>
    <row r="51" spans="3:11" x14ac:dyDescent="0.25">
      <c r="C51" s="1">
        <v>2023</v>
      </c>
      <c r="D51" s="32">
        <v>12154309528</v>
      </c>
      <c r="J51" s="15">
        <v>2020</v>
      </c>
      <c r="K51" s="37">
        <f>(D48)/(D48+D56)</f>
        <v>0.18682570345768493</v>
      </c>
    </row>
    <row r="52" spans="3:11" x14ac:dyDescent="0.25">
      <c r="C52" s="1">
        <v>2024</v>
      </c>
      <c r="D52" s="32">
        <v>12207088440</v>
      </c>
      <c r="J52" s="15">
        <v>2021</v>
      </c>
      <c r="K52" s="37">
        <f>(D49)/(D49+D57)</f>
        <v>0.19094394339897586</v>
      </c>
    </row>
    <row r="53" spans="3:11" x14ac:dyDescent="0.25">
      <c r="C53" s="1">
        <v>2025</v>
      </c>
      <c r="D53" s="32">
        <v>14658240959</v>
      </c>
      <c r="J53" s="15">
        <v>2022</v>
      </c>
      <c r="K53" s="37">
        <f>(D50)/(D50+D58)</f>
        <v>0.19451508007792251</v>
      </c>
    </row>
    <row r="54" spans="3:11" x14ac:dyDescent="0.25">
      <c r="C54" s="1"/>
      <c r="D54" s="1"/>
      <c r="J54" s="15">
        <v>2023</v>
      </c>
      <c r="K54" s="37">
        <f>(D51)/(D51+D59)</f>
        <v>0.2247978886446505</v>
      </c>
    </row>
    <row r="55" spans="3:11" x14ac:dyDescent="0.25">
      <c r="C55" s="71" t="s">
        <v>75</v>
      </c>
      <c r="D55" s="71" t="s">
        <v>77</v>
      </c>
      <c r="J55" s="15">
        <v>2024</v>
      </c>
      <c r="K55" s="37">
        <f>(D52)/(D52+D60)</f>
        <v>0.224942578861201</v>
      </c>
    </row>
    <row r="56" spans="3:11" x14ac:dyDescent="0.25">
      <c r="C56" s="1">
        <v>2020</v>
      </c>
      <c r="D56" s="32">
        <v>34159135839.720501</v>
      </c>
      <c r="J56" s="15">
        <v>2025</v>
      </c>
      <c r="K56" s="37">
        <f>(D53)/(D53+D61)</f>
        <v>0.3097207269569604</v>
      </c>
    </row>
    <row r="57" spans="3:11" x14ac:dyDescent="0.25">
      <c r="C57" s="1">
        <v>2021</v>
      </c>
      <c r="D57" s="32">
        <v>40338425906.495102</v>
      </c>
    </row>
    <row r="58" spans="3:11" x14ac:dyDescent="0.25">
      <c r="C58" s="1">
        <v>2022</v>
      </c>
      <c r="D58" s="32">
        <v>45181473634.665604</v>
      </c>
    </row>
    <row r="59" spans="3:11" x14ac:dyDescent="0.25">
      <c r="C59" s="1">
        <v>2023</v>
      </c>
      <c r="D59" s="32">
        <v>41913411487</v>
      </c>
    </row>
    <row r="60" spans="3:11" x14ac:dyDescent="0.25">
      <c r="C60" s="1">
        <v>2024</v>
      </c>
      <c r="D60" s="32">
        <v>42060487320</v>
      </c>
    </row>
    <row r="61" spans="3:11" x14ac:dyDescent="0.25">
      <c r="C61" s="1">
        <v>2025</v>
      </c>
      <c r="D61" s="32">
        <v>32669043537</v>
      </c>
    </row>
    <row r="62" spans="3:11" x14ac:dyDescent="0.25">
      <c r="C62" s="1"/>
      <c r="D62" s="32"/>
    </row>
    <row r="63" spans="3:11" x14ac:dyDescent="0.25">
      <c r="C63" s="1"/>
      <c r="D63" s="32"/>
    </row>
    <row r="66" spans="3:11" x14ac:dyDescent="0.25">
      <c r="C66" t="s">
        <v>78</v>
      </c>
    </row>
    <row r="67" spans="3:11" x14ac:dyDescent="0.25">
      <c r="C67" t="s">
        <v>76</v>
      </c>
      <c r="D67" s="12" t="s">
        <v>79</v>
      </c>
    </row>
    <row r="70" spans="3:11" x14ac:dyDescent="0.25">
      <c r="J70" s="15" t="s">
        <v>95</v>
      </c>
      <c r="K70" s="36" t="s">
        <v>96</v>
      </c>
    </row>
    <row r="71" spans="3:11" x14ac:dyDescent="0.25">
      <c r="J71" s="15">
        <v>2020</v>
      </c>
      <c r="K71" s="37">
        <f>(K35*K51)^(1/2)</f>
        <v>0.34980368909917287</v>
      </c>
    </row>
    <row r="72" spans="3:11" x14ac:dyDescent="0.25">
      <c r="J72" s="15">
        <v>2021</v>
      </c>
      <c r="K72" s="37">
        <f>(K36*K52)^(1/2)</f>
        <v>0.38344630294989196</v>
      </c>
    </row>
    <row r="73" spans="3:11" x14ac:dyDescent="0.25">
      <c r="J73" s="15">
        <v>2022</v>
      </c>
      <c r="K73" s="37">
        <f>(K37*K53)^(1/2)</f>
        <v>0.40286706049742055</v>
      </c>
    </row>
    <row r="74" spans="3:11" x14ac:dyDescent="0.25">
      <c r="J74" s="15">
        <v>2023</v>
      </c>
      <c r="K74" s="37">
        <f>(K38*K54)^(1/2)</f>
        <v>0.43822883627939985</v>
      </c>
    </row>
    <row r="75" spans="3:11" x14ac:dyDescent="0.25">
      <c r="J75" s="15">
        <v>2024</v>
      </c>
      <c r="K75" s="37">
        <f>(K39*K55)^(1/2)</f>
        <v>0.44488457451252772</v>
      </c>
    </row>
    <row r="76" spans="3:11" x14ac:dyDescent="0.25">
      <c r="J76" s="15">
        <v>2025</v>
      </c>
      <c r="K76" s="37">
        <f>(K40*K56)^(1/2)</f>
        <v>0.55652558517732176</v>
      </c>
    </row>
    <row r="80" spans="3:11" x14ac:dyDescent="0.25">
      <c r="F80" t="s">
        <v>21</v>
      </c>
      <c r="G80" s="12" t="s">
        <v>110</v>
      </c>
    </row>
  </sheetData>
  <mergeCells count="8">
    <mergeCell ref="B2:P2"/>
    <mergeCell ref="C44:F45"/>
    <mergeCell ref="K31:L31"/>
    <mergeCell ref="K32:L32"/>
    <mergeCell ref="J48:K48"/>
    <mergeCell ref="J47:K47"/>
    <mergeCell ref="C8:D8"/>
    <mergeCell ref="C4:F5"/>
  </mergeCells>
  <hyperlinks>
    <hyperlink ref="D67" r:id="rId1" xr:uid="{EACD982F-3D64-425A-A3F4-0646B56C86E9}"/>
    <hyperlink ref="O31" r:id="rId2" xr:uid="{6E389D33-AB08-4AA0-925C-608598ACCE46}"/>
    <hyperlink ref="Q14" r:id="rId3" xr:uid="{92F2C418-5450-494A-A7E8-17B67ACE6A0B}"/>
    <hyperlink ref="Q18" r:id="rId4" xr:uid="{EFD71DEF-7E0D-46B6-94A9-B492C0A56E96}"/>
    <hyperlink ref="G80" r:id="rId5" xr:uid="{ED3B40FD-4AAD-463A-8498-F9DBE6D3DFF0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F21D-EE55-403B-A8B1-EAB26F29A587}">
  <sheetPr>
    <tabColor theme="9"/>
  </sheetPr>
  <dimension ref="C3:I23"/>
  <sheetViews>
    <sheetView topLeftCell="A4" workbookViewId="0">
      <selection activeCell="J27" sqref="J27"/>
    </sheetView>
  </sheetViews>
  <sheetFormatPr baseColWidth="10" defaultRowHeight="15" x14ac:dyDescent="0.25"/>
  <sheetData>
    <row r="3" spans="3:7" x14ac:dyDescent="0.25">
      <c r="C3" s="57" t="s">
        <v>105</v>
      </c>
      <c r="D3" s="57"/>
      <c r="E3" s="57"/>
      <c r="F3" s="57"/>
      <c r="G3" s="57"/>
    </row>
    <row r="5" spans="3:7" x14ac:dyDescent="0.25">
      <c r="C5" t="s">
        <v>106</v>
      </c>
      <c r="D5" s="55" t="s">
        <v>107</v>
      </c>
      <c r="E5" s="55"/>
      <c r="F5" s="55"/>
    </row>
    <row r="7" spans="3:7" x14ac:dyDescent="0.25">
      <c r="C7" s="46" t="s">
        <v>75</v>
      </c>
      <c r="D7" s="46">
        <v>2022</v>
      </c>
      <c r="E7" s="46">
        <v>2023</v>
      </c>
      <c r="F7" s="46">
        <v>2024</v>
      </c>
      <c r="G7" s="46">
        <v>2025</v>
      </c>
    </row>
    <row r="8" spans="3:7" x14ac:dyDescent="0.25">
      <c r="C8" s="1" t="s">
        <v>7</v>
      </c>
      <c r="D8" s="1">
        <v>0.66579999999999995</v>
      </c>
      <c r="E8" s="1">
        <v>0.68500000000000005</v>
      </c>
      <c r="F8" s="1">
        <v>0.71360000000000001</v>
      </c>
      <c r="G8" s="1">
        <v>0.74108220000000002</v>
      </c>
    </row>
    <row r="9" spans="3:7" x14ac:dyDescent="0.25">
      <c r="C9" s="1" t="s">
        <v>55</v>
      </c>
      <c r="D9" s="1">
        <v>0.14156896994721349</v>
      </c>
      <c r="E9" s="1">
        <v>0.13986874137669328</v>
      </c>
      <c r="F9" s="1">
        <v>0.16731809584220497</v>
      </c>
      <c r="G9" s="1">
        <v>0.16396590027613564</v>
      </c>
    </row>
    <row r="10" spans="3:7" x14ac:dyDescent="0.25">
      <c r="C10" s="1" t="s">
        <v>96</v>
      </c>
      <c r="D10" s="1">
        <v>0.40286706049742055</v>
      </c>
      <c r="E10" s="1">
        <v>0.43822883627939985</v>
      </c>
      <c r="F10" s="1">
        <v>0.44488457451252772</v>
      </c>
      <c r="G10" s="1">
        <v>0.55652558517732176</v>
      </c>
    </row>
    <row r="11" spans="3:7" x14ac:dyDescent="0.25">
      <c r="C11" s="44" t="s">
        <v>106</v>
      </c>
      <c r="D11" s="45">
        <f>(D8+D9+D10)/3</f>
        <v>0.40341201014821132</v>
      </c>
      <c r="E11" s="45">
        <f>(E8+E9+E10)/3</f>
        <v>0.42103252588536438</v>
      </c>
      <c r="F11" s="45">
        <f>(F8+F9+F10)/3</f>
        <v>0.44193422345157751</v>
      </c>
      <c r="G11" s="45">
        <f>(G8+G9+G10)/3</f>
        <v>0.48719122848448587</v>
      </c>
    </row>
    <row r="14" spans="3:7" x14ac:dyDescent="0.25">
      <c r="C14" s="57" t="s">
        <v>108</v>
      </c>
      <c r="D14" s="57"/>
      <c r="E14" s="57"/>
      <c r="F14" s="57"/>
      <c r="G14" s="57"/>
    </row>
    <row r="16" spans="3:7" x14ac:dyDescent="0.25">
      <c r="C16" t="s">
        <v>106</v>
      </c>
      <c r="D16" s="55" t="s">
        <v>109</v>
      </c>
      <c r="E16" s="55"/>
      <c r="F16" s="55"/>
    </row>
    <row r="18" spans="3:9" x14ac:dyDescent="0.25">
      <c r="C18" s="46" t="s">
        <v>75</v>
      </c>
      <c r="D18" s="46">
        <v>2020</v>
      </c>
      <c r="E18" s="46">
        <v>2021</v>
      </c>
      <c r="F18" s="46">
        <v>2022</v>
      </c>
      <c r="G18" s="46">
        <v>2023</v>
      </c>
      <c r="H18" s="46">
        <v>2024</v>
      </c>
      <c r="I18" s="46">
        <v>2025</v>
      </c>
    </row>
    <row r="19" spans="3:9" x14ac:dyDescent="0.25">
      <c r="C19" s="1" t="s">
        <v>7</v>
      </c>
      <c r="D19">
        <v>0.65620000000000001</v>
      </c>
      <c r="E19">
        <v>0.65459080000000003</v>
      </c>
      <c r="F19" s="49">
        <v>0.66579999999999995</v>
      </c>
      <c r="G19" s="52">
        <v>0.68500000000000005</v>
      </c>
      <c r="H19" s="53">
        <v>0.71360000000000001</v>
      </c>
      <c r="I19" s="53">
        <v>0.74108220000000002</v>
      </c>
    </row>
    <row r="20" spans="3:9" x14ac:dyDescent="0.25">
      <c r="C20" s="1" t="s">
        <v>55</v>
      </c>
      <c r="D20" s="70">
        <v>0.17616360713109433</v>
      </c>
      <c r="E20">
        <v>0.14963197051018851</v>
      </c>
      <c r="F20" s="49">
        <v>0.14156896994721349</v>
      </c>
      <c r="G20" s="52">
        <v>0.13986874137669328</v>
      </c>
      <c r="H20" s="53">
        <v>0.16731809584220497</v>
      </c>
      <c r="I20" s="53">
        <v>0.16396590027613564</v>
      </c>
    </row>
    <row r="21" spans="3:9" x14ac:dyDescent="0.25">
      <c r="C21" s="1" t="s">
        <v>96</v>
      </c>
      <c r="D21">
        <v>0.34980368909917287</v>
      </c>
      <c r="E21">
        <v>0.38344630294989196</v>
      </c>
      <c r="F21" s="49">
        <v>0.40286706049742055</v>
      </c>
      <c r="G21" s="52">
        <v>0.43822883627939985</v>
      </c>
      <c r="H21" s="53">
        <v>0.44488457451252772</v>
      </c>
      <c r="I21" s="53">
        <v>0.55652558517732176</v>
      </c>
    </row>
    <row r="22" spans="3:9" x14ac:dyDescent="0.25">
      <c r="C22" s="1" t="s">
        <v>4</v>
      </c>
      <c r="D22">
        <v>0.70146666666666668</v>
      </c>
      <c r="E22">
        <v>0.6875</v>
      </c>
      <c r="F22" s="49">
        <v>0.6889333333333334</v>
      </c>
      <c r="G22" s="54">
        <v>0.74146666666666661</v>
      </c>
      <c r="H22" s="53">
        <v>0.77999999999999992</v>
      </c>
      <c r="I22" s="53">
        <v>0.79956000000000005</v>
      </c>
    </row>
    <row r="23" spans="3:9" x14ac:dyDescent="0.25">
      <c r="C23" s="44" t="s">
        <v>106</v>
      </c>
      <c r="D23" s="45">
        <f>(D19+D20+D21+D22)/4</f>
        <v>0.47090849072423346</v>
      </c>
      <c r="E23" s="45">
        <f>(E19+E20+E21+E22)/4</f>
        <v>0.46879226836502014</v>
      </c>
      <c r="F23" s="45">
        <f>(F19+F20+F21+F22)/4</f>
        <v>0.47479234094449185</v>
      </c>
      <c r="G23" s="45">
        <f>(G19+G20+G21+G22)/4</f>
        <v>0.5011410610806899</v>
      </c>
      <c r="H23" s="45">
        <f>(H19+H20+H21+H22)/4</f>
        <v>0.52645066758868309</v>
      </c>
      <c r="I23" s="45">
        <f>(I19+I20+I21+I22)/4</f>
        <v>0.5652834213633644</v>
      </c>
    </row>
  </sheetData>
  <mergeCells count="4">
    <mergeCell ref="D5:F5"/>
    <mergeCell ref="D16:F16"/>
    <mergeCell ref="C14:G14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EDGI</vt:lpstr>
      <vt:lpstr>ACC</vt:lpstr>
      <vt:lpstr>ECO</vt:lpstr>
      <vt:lpstr>PAY</vt:lpstr>
      <vt:lpstr>IND. DIG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Correa</dc:creator>
  <cp:lastModifiedBy>Leandro Correa</cp:lastModifiedBy>
  <dcterms:created xsi:type="dcterms:W3CDTF">2026-02-22T00:35:17Z</dcterms:created>
  <dcterms:modified xsi:type="dcterms:W3CDTF">2026-02-24T06:36:02Z</dcterms:modified>
</cp:coreProperties>
</file>